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结果汇总" sheetId="1" state="visible" r:id="rId1"/>
    <sheet xmlns:r="http://schemas.openxmlformats.org/officeDocument/2006/relationships" name="模型说明与假设" sheetId="2" state="visible" r:id="rId2"/>
    <sheet xmlns:r="http://schemas.openxmlformats.org/officeDocument/2006/relationships" name="附件1风险评分" sheetId="3" state="visible" r:id="rId3"/>
    <sheet xmlns:r="http://schemas.openxmlformats.org/officeDocument/2006/relationships" name="附件2风险评分" sheetId="4" state="visible" r:id="rId4"/>
    <sheet xmlns:r="http://schemas.openxmlformats.org/officeDocument/2006/relationships" name="问题1策略" sheetId="5" state="visible" r:id="rId5"/>
    <sheet xmlns:r="http://schemas.openxmlformats.org/officeDocument/2006/relationships" name="问题2策略" sheetId="6" state="visible" r:id="rId6"/>
    <sheet xmlns:r="http://schemas.openxmlformats.org/officeDocument/2006/relationships" name="问题3策略" sheetId="7" state="visible" r:id="rId7"/>
    <sheet xmlns:r="http://schemas.openxmlformats.org/officeDocument/2006/relationships" name="模型验证" sheetId="8" state="visible" r:id="rId8"/>
    <sheet xmlns:r="http://schemas.openxmlformats.org/officeDocument/2006/relationships" name="特征系数" sheetId="9" state="visible" r:id="rId9"/>
    <sheet xmlns:r="http://schemas.openxmlformats.org/officeDocument/2006/relationships" name="灵敏度试验" sheetId="10" state="visible" r:id="rId10"/>
    <sheet xmlns:r="http://schemas.openxmlformats.org/officeDocument/2006/relationships" name="指标移除" sheetId="11" state="visible" r:id="rId11"/>
  </sheets>
  <definedNames>
    <definedName name="_xlnm._FilterDatabase" localSheetId="1" hidden="1">'模型说明与假设'!$A$1:$C$13</definedName>
    <definedName name="_xlnm._FilterDatabase" localSheetId="2" hidden="1">'附件1风险评分'!$A$1:$L$124</definedName>
    <definedName name="_xlnm._FilterDatabase" localSheetId="3" hidden="1">'附件2风险评分'!$A$1:$J$303</definedName>
    <definedName name="_xlnm._FilterDatabase" localSheetId="4" hidden="1">'问题1策略'!$A$1:$Y$124</definedName>
    <definedName name="_xlnm._FilterDatabase" localSheetId="5" hidden="1">'问题2策略'!$A$1:$W$303</definedName>
    <definedName name="_xlnm._FilterDatabase" localSheetId="6" hidden="1">'问题3策略'!$A$1:$AH$303</definedName>
    <definedName name="_xlnm._FilterDatabase" localSheetId="7" hidden="1">'模型验证'!$A$1:$E$13</definedName>
    <definedName name="_xlnm._FilterDatabase" localSheetId="8" hidden="1">'特征系数'!$A$1:$D$17</definedName>
    <definedName name="_xlnm._FilterDatabase" localSheetId="9" hidden="1">'灵敏度试验'!$A$1:$D$101</definedName>
    <definedName name="_xlnm._FilterDatabase" localSheetId="10" hidden="1">'指标移除'!$A$1:$D$15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;[Red](0.00);-"/>
  </numFmts>
  <fonts count="5">
    <font>
      <name val="Calibri"/>
      <family val="2"/>
      <color theme="1"/>
      <sz val="11"/>
      <scheme val="minor"/>
    </font>
    <font>
      <name val="Microsoft YaHei"/>
      <b val="1"/>
      <color rgb="00FFFFFF"/>
    </font>
    <font>
      <name val="Microsoft YaHei"/>
      <color rgb="00000000"/>
      <sz val="10"/>
    </font>
    <font>
      <name val="Microsoft YaHei"/>
      <color rgb="000000FF"/>
    </font>
    <font>
      <name val="Microsoft YaHei"/>
      <color rgb="00000000"/>
    </font>
  </fonts>
  <fills count="4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165" fontId="4" fillId="0" borderId="0" pivotButton="0" quotePrefix="0" xfId="0"/>
    <xf numFmtId="164" fontId="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164" fontId="3" fillId="3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70000301" displayName="T70000301" ref="A1:C13" headerRowCount="1">
  <autoFilter ref="A1:C13"/>
  <tableColumns count="3">
    <tableColumn id="1" name="参数"/>
    <tableColumn id="2" name="数值"/>
    <tableColumn id="3" name="说明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27706497" displayName="T27706497" ref="A1:L124" headerRowCount="1">
  <autoFilter ref="A1:L124"/>
  <tableColumns count="12">
    <tableColumn id="1" name="企业代号"/>
    <tableColumn id="2" name="违约概率"/>
    <tableColumn id="3" name="风险等级"/>
    <tableColumn id="4" name="TOPSIS得分"/>
    <tableColumn id="5" name="D_pos"/>
    <tableColumn id="6" name="D_neg"/>
    <tableColumn id="7" name="PD排名"/>
    <tableColumn id="8" name="TOPSIS排名"/>
    <tableColumn id="9" name="企业名称"/>
    <tableColumn id="10" name="信誉评级"/>
    <tableColumn id="11" name="是否违约"/>
    <tableColumn id="12" name="硬性禁贷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17221612" displayName="T17221612" ref="A1:J303" headerRowCount="1">
  <autoFilter ref="A1:J303"/>
  <tableColumns count="10">
    <tableColumn id="1" name="企业代号"/>
    <tableColumn id="2" name="违约概率"/>
    <tableColumn id="3" name="风险等级"/>
    <tableColumn id="4" name="TOPSIS得分"/>
    <tableColumn id="5" name="D_pos"/>
    <tableColumn id="6" name="D_neg"/>
    <tableColumn id="7" name="PD排名"/>
    <tableColumn id="8" name="TOPSIS排名"/>
    <tableColumn id="9" name="企业名称"/>
    <tableColumn id="10" name="硬性禁贷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2820107" displayName="T2820107" ref="A1:Y124" headerRowCount="1">
  <autoFilter ref="A1:Y124"/>
  <tableColumns count="25">
    <tableColumn id="1" name="企业代号"/>
    <tableColumn id="2" name="违约概率"/>
    <tableColumn id="3" name="风险等级"/>
    <tableColumn id="4" name="TOPSIS得分"/>
    <tableColumn id="5" name="D_pos"/>
    <tableColumn id="6" name="D_neg"/>
    <tableColumn id="7" name="PD排名"/>
    <tableColumn id="8" name="TOPSIS排名"/>
    <tableColumn id="9" name="企业名称"/>
    <tableColumn id="10" name="信誉评级"/>
    <tableColumn id="11" name="是否违约"/>
    <tableColumn id="12" name="硬性禁贷"/>
    <tableColumn id="13" name="贷款额度_万元"/>
    <tableColumn id="14" name="贷款年利率"/>
    <tableColumn id="15" name="预计流失率"/>
    <tableColumn id="16" name="单位额度期望收益"/>
    <tableColumn id="17" name="禁贷原因"/>
    <tableColumn id="18" name="客户留存率"/>
    <tableColumn id="19" name="预计实际放款额"/>
    <tableColumn id="20" name="名义利息"/>
    <tableColumn id="21" name="预计留存后利息"/>
    <tableColumn id="22" name="预计违约损失"/>
    <tableColumn id="23" name="预计资金成本"/>
    <tableColumn id="24" name="期望净收益"/>
    <tableColumn id="25" name="预算强制负收益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83874297" displayName="T83874297" ref="A1:W303" headerRowCount="1">
  <autoFilter ref="A1:W303"/>
  <tableColumns count="23">
    <tableColumn id="1" name="企业代号"/>
    <tableColumn id="2" name="违约概率"/>
    <tableColumn id="3" name="风险等级"/>
    <tableColumn id="4" name="TOPSIS得分"/>
    <tableColumn id="5" name="D_pos"/>
    <tableColumn id="6" name="D_neg"/>
    <tableColumn id="7" name="PD排名"/>
    <tableColumn id="8" name="TOPSIS排名"/>
    <tableColumn id="9" name="企业名称"/>
    <tableColumn id="10" name="硬性禁贷"/>
    <tableColumn id="11" name="贷款额度_万元"/>
    <tableColumn id="12" name="贷款年利率"/>
    <tableColumn id="13" name="预计流失率"/>
    <tableColumn id="14" name="单位额度期望收益"/>
    <tableColumn id="15" name="禁贷原因"/>
    <tableColumn id="16" name="客户留存率"/>
    <tableColumn id="17" name="预计实际放款额"/>
    <tableColumn id="18" name="名义利息"/>
    <tableColumn id="19" name="预计留存后利息"/>
    <tableColumn id="20" name="预计违约损失"/>
    <tableColumn id="21" name="预计资金成本"/>
    <tableColumn id="22" name="期望净收益"/>
    <tableColumn id="23" name="预算强制负收益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63733945" displayName="T63733945" ref="A1:AH303" headerRowCount="1">
  <autoFilter ref="A1:AH303"/>
  <tableColumns count="34">
    <tableColumn id="1" name="企业代号"/>
    <tableColumn id="2" name="调整后违约概率"/>
    <tableColumn id="3" name="调整后等级"/>
    <tableColumn id="4" name="TOPSIS得分"/>
    <tableColumn id="5" name="D_pos"/>
    <tableColumn id="6" name="D_neg"/>
    <tableColumn id="7" name="PD排名"/>
    <tableColumn id="8" name="TOPSIS排名"/>
    <tableColumn id="9" name="企业名称"/>
    <tableColumn id="10" name="硬性禁贷"/>
    <tableColumn id="11" name="行业类别"/>
    <tableColumn id="12" name="行业识别置信度"/>
    <tableColumn id="13" name="冲击系数"/>
    <tableColumn id="14" name="原违约概率"/>
    <tableColumn id="15" name="原风险等级"/>
    <tableColumn id="16" name="调整后额度"/>
    <tableColumn id="17" name="调整后利率"/>
    <tableColumn id="18" name="调整后预计流失率"/>
    <tableColumn id="19" name="单位额度期望收益"/>
    <tableColumn id="20" name="禁贷原因"/>
    <tableColumn id="21" name="客户留存率"/>
    <tableColumn id="22" name="预计实际放款额"/>
    <tableColumn id="23" name="名义利息"/>
    <tableColumn id="24" name="预计留存后利息"/>
    <tableColumn id="25" name="预计违约损失"/>
    <tableColumn id="26" name="预计资金成本"/>
    <tableColumn id="27" name="调整后期望净收益"/>
    <tableColumn id="28" name="预算强制负收益"/>
    <tableColumn id="29" name="原违约概率_策略"/>
    <tableColumn id="30" name="原风险等级_策略"/>
    <tableColumn id="31" name="原贷款额度"/>
    <tableColumn id="32" name="原贷款利率"/>
    <tableColumn id="33" name="原预计流失率"/>
    <tableColumn id="34" name="原期望净收益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T63985791" displayName="T63985791" ref="A1:D17" headerRowCount="1">
  <autoFilter ref="A1:D17"/>
  <tableColumns count="4">
    <tableColumn id="1" name="特征"/>
    <tableColumn id="2" name="标准化系数"/>
    <tableColumn id="3" name="优势比"/>
    <tableColumn id="4" name="风险方向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T27822487" displayName="T27822487" ref="A1:D101" headerRowCount="1">
  <autoFilter ref="A1:D101"/>
  <tableColumns count="4">
    <tableColumn id="1" name="试验编号"/>
    <tableColumn id="2" name="Spearman相关系数"/>
    <tableColumn id="3" name="Kendall相关系数"/>
    <tableColumn id="4" name="最大权重变化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T89241755" displayName="T89241755" ref="A1:D15" headerRowCount="1">
  <autoFilter ref="A1:D15"/>
  <tableColumns count="4">
    <tableColumn id="1" name="移除指标"/>
    <tableColumn id="2" name="原权重"/>
    <tableColumn id="3" name="Spearman相关系数"/>
    <tableColumn id="4" name="Kendall相关系数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问题</t>
        </is>
      </c>
      <c r="B1" s="1" t="inlineStr">
        <is>
          <t>放贷企业数</t>
        </is>
      </c>
      <c r="C1" s="1" t="inlineStr">
        <is>
          <t>额度合计(万元)</t>
        </is>
      </c>
      <c r="D1" s="1" t="inlineStr">
        <is>
          <t>平均利率</t>
        </is>
      </c>
      <c r="E1" s="1" t="inlineStr">
        <is>
          <t>期望净收益(万元)</t>
        </is>
      </c>
    </row>
    <row r="2">
      <c r="A2" s="2" t="inlineStr">
        <is>
          <t>问题1</t>
        </is>
      </c>
      <c r="B2" s="2">
        <f>COUNTIF('问题1策略'!M2:M124,"&gt;0")</f>
        <v/>
      </c>
      <c r="C2" s="3">
        <f>SUM('问题1策略'!M2:M124)</f>
        <v/>
      </c>
      <c r="D2" s="4">
        <f>AVERAGEIF('问题1策略'!M2:M124,"&gt;0",'问题1策略'!N2:N124)</f>
        <v/>
      </c>
      <c r="E2" s="3">
        <f>SUM('问题1策略'!X2:X124)</f>
        <v/>
      </c>
    </row>
    <row r="3">
      <c r="A3" s="2" t="inlineStr">
        <is>
          <t>问题2</t>
        </is>
      </c>
      <c r="B3" s="2">
        <f>COUNTIF('问题2策略'!K2:K303,"&gt;0")</f>
        <v/>
      </c>
      <c r="C3" s="3">
        <f>SUM('问题2策略'!K2:K303)</f>
        <v/>
      </c>
      <c r="D3" s="4">
        <f>AVERAGEIF('问题2策略'!K2:K303,"&gt;0",'问题2策略'!L2:L303)</f>
        <v/>
      </c>
      <c r="E3" s="3">
        <f>SUM('问题2策略'!V2:V303)</f>
        <v/>
      </c>
    </row>
    <row r="4">
      <c r="A4" s="2" t="inlineStr">
        <is>
          <t>问题3</t>
        </is>
      </c>
      <c r="B4" s="2">
        <f>COUNTIF('问题3策略'!P2:P303,"&gt;0")</f>
        <v/>
      </c>
      <c r="C4" s="3">
        <f>SUM('问题3策略'!P2:P303)</f>
        <v/>
      </c>
      <c r="D4" s="4">
        <f>AVERAGEIF('问题3策略'!P2:P303,"&gt;0",'问题3策略'!Q2:Q303)</f>
        <v/>
      </c>
      <c r="E4" s="3">
        <f>SUM('问题3策略'!AA2:AA303)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.75" customWidth="1" min="1" max="1"/>
    <col width="32" customWidth="1" min="2" max="2"/>
    <col width="25.75" customWidth="1" min="3" max="3"/>
  </cols>
  <sheetData>
    <row r="1">
      <c r="A1" s="5" t="inlineStr">
        <is>
          <t>参数</t>
        </is>
      </c>
      <c r="B1" s="5" t="inlineStr">
        <is>
          <t>数值</t>
        </is>
      </c>
      <c r="C1" s="5" t="inlineStr">
        <is>
          <t>说明</t>
        </is>
      </c>
    </row>
    <row r="2">
      <c r="A2" s="6" t="inlineStr">
        <is>
          <t>模型版本</t>
        </is>
      </c>
      <c r="B2" s="7" t="inlineStr">
        <is>
          <t>2.0-supervised-pd</t>
        </is>
      </c>
      <c r="C2" s="6" t="inlineStr">
        <is>
          <t>监督逻辑回归PD，TOPSIS仅作解释</t>
        </is>
      </c>
    </row>
    <row r="3">
      <c r="A3" s="6" t="inlineStr">
        <is>
          <t>生成时间</t>
        </is>
      </c>
      <c r="B3" s="7" t="inlineStr">
        <is>
          <t>2026-07-13T18:38:51+08:00</t>
        </is>
      </c>
      <c r="C3" s="6" t="inlineStr">
        <is>
          <t>本次端到端运行时间</t>
        </is>
      </c>
    </row>
    <row r="4">
      <c r="A4" s="6" t="inlineStr">
        <is>
          <t>随机种子</t>
        </is>
      </c>
      <c r="B4" s="7" t="n">
        <v>20200713</v>
      </c>
      <c r="C4" s="6" t="inlineStr">
        <is>
          <t>交叉验证与灵敏度试验</t>
        </is>
      </c>
    </row>
    <row r="5">
      <c r="A5" s="6" t="inlineStr">
        <is>
          <t>问题1预算(万元)</t>
        </is>
      </c>
      <c r="B5" s="7" t="n">
        <v>8000</v>
      </c>
      <c r="C5" s="6" t="inlineStr">
        <is>
          <t>题目未给具体值，作为可配置情景</t>
        </is>
      </c>
    </row>
    <row r="6">
      <c r="A6" s="6" t="inlineStr">
        <is>
          <t>问题2/3预算(万元)</t>
        </is>
      </c>
      <c r="B6" s="7" t="n">
        <v>10000</v>
      </c>
      <c r="C6" s="6" t="inlineStr">
        <is>
          <t>题目给定1亿元</t>
        </is>
      </c>
    </row>
    <row r="7">
      <c r="A7" s="6" t="inlineStr">
        <is>
          <t>违约损失率LGD</t>
        </is>
      </c>
      <c r="B7" s="8" t="n">
        <v>0.6</v>
      </c>
      <c r="C7" s="6" t="inlineStr">
        <is>
          <t>可调整业务假设</t>
        </is>
      </c>
    </row>
    <row r="8">
      <c r="A8" s="6" t="inlineStr">
        <is>
          <t>资金成本</t>
        </is>
      </c>
      <c r="B8" s="8" t="n">
        <v>0.025</v>
      </c>
      <c r="C8" s="6" t="inlineStr">
        <is>
          <t>可调整业务假设</t>
        </is>
      </c>
    </row>
    <row r="9">
      <c r="A9" s="6" t="inlineStr">
        <is>
          <t>单户最低额度(万元)</t>
        </is>
      </c>
      <c r="B9" s="7" t="n">
        <v>10</v>
      </c>
      <c r="C9" s="6" t="inlineStr">
        <is>
          <t>题目约束</t>
        </is>
      </c>
    </row>
    <row r="10">
      <c r="A10" s="6" t="inlineStr">
        <is>
          <t>单户最高额度(万元)</t>
        </is>
      </c>
      <c r="B10" s="7" t="n">
        <v>100</v>
      </c>
      <c r="C10" s="6" t="inlineStr">
        <is>
          <t>题目约束</t>
        </is>
      </c>
    </row>
    <row r="11">
      <c r="A11" s="6" t="inlineStr">
        <is>
          <t>A级PD上限</t>
        </is>
      </c>
      <c r="B11" s="8" t="n">
        <v>0.1</v>
      </c>
      <c r="C11" s="6" t="inlineStr">
        <is>
          <t>不含上限</t>
        </is>
      </c>
    </row>
    <row r="12">
      <c r="A12" s="6" t="inlineStr">
        <is>
          <t>B级PD上限</t>
        </is>
      </c>
      <c r="B12" s="8" t="n">
        <v>0.2</v>
      </c>
      <c r="C12" s="6" t="inlineStr">
        <is>
          <t>不含上限</t>
        </is>
      </c>
    </row>
    <row r="13">
      <c r="A13" s="6" t="inlineStr">
        <is>
          <t>C级PD上限</t>
        </is>
      </c>
      <c r="B13" s="8" t="n">
        <v>0.4</v>
      </c>
      <c r="C13" s="6" t="inlineStr">
        <is>
          <t>不含上限</t>
        </is>
      </c>
    </row>
  </sheetData>
  <autoFilter ref="A1:C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.75" customWidth="1" min="2" max="2"/>
    <col width="10" customWidth="1" min="3" max="3"/>
    <col width="24.5" customWidth="1" min="4" max="4"/>
    <col width="25.75" customWidth="1" min="5" max="5"/>
    <col width="24.5" customWidth="1" min="6" max="6"/>
    <col width="10" customWidth="1" min="7" max="7"/>
    <col width="12" customWidth="1" min="8" max="8"/>
    <col width="32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企业代号</t>
        </is>
      </c>
      <c r="B1" s="5" t="inlineStr">
        <is>
          <t>违约概率</t>
        </is>
      </c>
      <c r="C1" s="5" t="inlineStr">
        <is>
          <t>风险等级</t>
        </is>
      </c>
      <c r="D1" s="5" t="inlineStr">
        <is>
          <t>TOPSIS得分</t>
        </is>
      </c>
      <c r="E1" s="5" t="inlineStr">
        <is>
          <t>D_pos</t>
        </is>
      </c>
      <c r="F1" s="5" t="inlineStr">
        <is>
          <t>D_neg</t>
        </is>
      </c>
      <c r="G1" s="5" t="inlineStr">
        <is>
          <t>PD排名</t>
        </is>
      </c>
      <c r="H1" s="5" t="inlineStr">
        <is>
          <t>TOPSIS排名</t>
        </is>
      </c>
      <c r="I1" s="5" t="inlineStr">
        <is>
          <t>企业名称</t>
        </is>
      </c>
      <c r="J1" s="5" t="inlineStr">
        <is>
          <t>信誉评级</t>
        </is>
      </c>
      <c r="K1" s="5" t="inlineStr">
        <is>
          <t>是否违约</t>
        </is>
      </c>
      <c r="L1" s="5" t="inlineStr">
        <is>
          <t>硬性禁贷</t>
        </is>
      </c>
    </row>
    <row r="2">
      <c r="A2" s="6" t="inlineStr">
        <is>
          <t>E14</t>
        </is>
      </c>
      <c r="B2" s="6" t="n">
        <v>0.01418497366721081</v>
      </c>
      <c r="C2" s="6" t="inlineStr">
        <is>
          <t>A</t>
        </is>
      </c>
      <c r="D2" s="6" t="n">
        <v>0.7821415293671059</v>
      </c>
      <c r="E2" s="6" t="n">
        <v>0.0670555778030323</v>
      </c>
      <c r="F2" s="6" t="n">
        <v>0.2407386411145575</v>
      </c>
      <c r="G2" s="6" t="n">
        <v>1</v>
      </c>
      <c r="H2" s="6" t="n">
        <v>6</v>
      </c>
      <c r="I2" s="6" t="inlineStr">
        <is>
          <t>个体经营E14</t>
        </is>
      </c>
      <c r="J2" s="6" t="inlineStr">
        <is>
          <t>C</t>
        </is>
      </c>
      <c r="K2" s="6" t="inlineStr">
        <is>
          <t>否</t>
        </is>
      </c>
      <c r="L2" s="6" t="b">
        <v>0</v>
      </c>
    </row>
    <row r="3">
      <c r="A3" s="6" t="inlineStr">
        <is>
          <t>E8</t>
        </is>
      </c>
      <c r="B3" s="6" t="n">
        <v>0.01707567863714793</v>
      </c>
      <c r="C3" s="6" t="inlineStr">
        <is>
          <t>A</t>
        </is>
      </c>
      <c r="D3" s="6" t="n">
        <v>0.8151512976277173</v>
      </c>
      <c r="E3" s="6" t="n">
        <v>0.05712081862467089</v>
      </c>
      <c r="F3" s="6" t="n">
        <v>0.2518930824284746</v>
      </c>
      <c r="G3" s="6" t="n">
        <v>2</v>
      </c>
      <c r="H3" s="6" t="n">
        <v>2</v>
      </c>
      <c r="I3" s="6" t="inlineStr">
        <is>
          <t>***科学研究院有限公司</t>
        </is>
      </c>
      <c r="J3" s="6" t="inlineStr">
        <is>
          <t>A</t>
        </is>
      </c>
      <c r="K3" s="6" t="inlineStr">
        <is>
          <t>否</t>
        </is>
      </c>
      <c r="L3" s="6" t="b">
        <v>0</v>
      </c>
    </row>
    <row r="4">
      <c r="A4" s="6" t="inlineStr">
        <is>
          <t>E1</t>
        </is>
      </c>
      <c r="B4" s="6" t="n">
        <v>0.01851070086059584</v>
      </c>
      <c r="C4" s="6" t="inlineStr">
        <is>
          <t>A</t>
        </is>
      </c>
      <c r="D4" s="6" t="n">
        <v>0.5787153326640087</v>
      </c>
      <c r="E4" s="6" t="n">
        <v>0.1475023155394446</v>
      </c>
      <c r="F4" s="6" t="n">
        <v>0.2026227352300997</v>
      </c>
      <c r="G4" s="6" t="n">
        <v>3</v>
      </c>
      <c r="H4" s="6" t="n">
        <v>96</v>
      </c>
      <c r="I4" s="6" t="inlineStr">
        <is>
          <t>***电器销售有限公司</t>
        </is>
      </c>
      <c r="J4" s="6" t="inlineStr">
        <is>
          <t>A</t>
        </is>
      </c>
      <c r="K4" s="6" t="inlineStr">
        <is>
          <t>否</t>
        </is>
      </c>
      <c r="L4" s="6" t="b">
        <v>0</v>
      </c>
    </row>
    <row r="5">
      <c r="A5" s="6" t="inlineStr">
        <is>
          <t>E2</t>
        </is>
      </c>
      <c r="B5" s="6" t="n">
        <v>0.02297810632951877</v>
      </c>
      <c r="C5" s="6" t="inlineStr">
        <is>
          <t>A</t>
        </is>
      </c>
      <c r="D5" s="6" t="n">
        <v>0.8391443637731787</v>
      </c>
      <c r="E5" s="6" t="n">
        <v>0.04881501593398456</v>
      </c>
      <c r="F5" s="6" t="n">
        <v>0.254655953930888</v>
      </c>
      <c r="G5" s="6" t="n">
        <v>4</v>
      </c>
      <c r="H5" s="6" t="n">
        <v>1</v>
      </c>
      <c r="I5" s="6" t="inlineStr">
        <is>
          <t>***技术有限责任公司</t>
        </is>
      </c>
      <c r="J5" s="6" t="inlineStr">
        <is>
          <t>A</t>
        </is>
      </c>
      <c r="K5" s="6" t="inlineStr">
        <is>
          <t>否</t>
        </is>
      </c>
      <c r="L5" s="6" t="b">
        <v>0</v>
      </c>
    </row>
    <row r="6">
      <c r="A6" s="6" t="inlineStr">
        <is>
          <t>E7</t>
        </is>
      </c>
      <c r="B6" s="6" t="n">
        <v>0.02385439259623525</v>
      </c>
      <c r="C6" s="6" t="inlineStr">
        <is>
          <t>A</t>
        </is>
      </c>
      <c r="D6" s="6" t="n">
        <v>0.7432405249749129</v>
      </c>
      <c r="E6" s="6" t="n">
        <v>0.08492874538459912</v>
      </c>
      <c r="F6" s="6" t="n">
        <v>0.245842866359431</v>
      </c>
      <c r="G6" s="6" t="n">
        <v>5</v>
      </c>
      <c r="H6" s="6" t="n">
        <v>17</v>
      </c>
      <c r="I6" s="6" t="inlineStr">
        <is>
          <t>***家电有限公司***分公司</t>
        </is>
      </c>
      <c r="J6" s="6" t="inlineStr">
        <is>
          <t>A</t>
        </is>
      </c>
      <c r="K6" s="6" t="inlineStr">
        <is>
          <t>否</t>
        </is>
      </c>
      <c r="L6" s="6" t="b">
        <v>0</v>
      </c>
    </row>
    <row r="7">
      <c r="A7" s="6" t="inlineStr">
        <is>
          <t>E54</t>
        </is>
      </c>
      <c r="B7" s="6" t="n">
        <v>0.0244577741640884</v>
      </c>
      <c r="C7" s="6" t="inlineStr">
        <is>
          <t>A</t>
        </is>
      </c>
      <c r="D7" s="6" t="n">
        <v>0.7666620562198306</v>
      </c>
      <c r="E7" s="6" t="n">
        <v>0.07136437499646536</v>
      </c>
      <c r="F7" s="6" t="n">
        <v>0.2344769032814416</v>
      </c>
      <c r="G7" s="6" t="n">
        <v>6</v>
      </c>
      <c r="H7" s="6" t="n">
        <v>9</v>
      </c>
      <c r="I7" s="6" t="inlineStr">
        <is>
          <t>***新技术开发有限公司</t>
        </is>
      </c>
      <c r="J7" s="6" t="inlineStr">
        <is>
          <t>A</t>
        </is>
      </c>
      <c r="K7" s="6" t="inlineStr">
        <is>
          <t>否</t>
        </is>
      </c>
      <c r="L7" s="6" t="b">
        <v>0</v>
      </c>
    </row>
    <row r="8">
      <c r="A8" s="6" t="inlineStr">
        <is>
          <t>E23</t>
        </is>
      </c>
      <c r="B8" s="6" t="n">
        <v>0.0278147658485761</v>
      </c>
      <c r="C8" s="6" t="inlineStr">
        <is>
          <t>A</t>
        </is>
      </c>
      <c r="D8" s="6" t="n">
        <v>0.7479066841313385</v>
      </c>
      <c r="E8" s="6" t="n">
        <v>0.07848922784007079</v>
      </c>
      <c r="F8" s="6" t="n">
        <v>0.2328606688028178</v>
      </c>
      <c r="G8" s="6" t="n">
        <v>7</v>
      </c>
      <c r="H8" s="6" t="n">
        <v>16</v>
      </c>
      <c r="I8" s="6" t="inlineStr">
        <is>
          <t>***贸易有限公司</t>
        </is>
      </c>
      <c r="J8" s="6" t="inlineStr">
        <is>
          <t>B</t>
        </is>
      </c>
      <c r="K8" s="6" t="inlineStr">
        <is>
          <t>否</t>
        </is>
      </c>
      <c r="L8" s="6" t="b">
        <v>0</v>
      </c>
    </row>
    <row r="9">
      <c r="A9" s="6" t="inlineStr">
        <is>
          <t>E9</t>
        </is>
      </c>
      <c r="B9" s="6" t="n">
        <v>0.02827483973639289</v>
      </c>
      <c r="C9" s="6" t="inlineStr">
        <is>
          <t>A</t>
        </is>
      </c>
      <c r="D9" s="6" t="n">
        <v>0.7879938980070007</v>
      </c>
      <c r="E9" s="6" t="n">
        <v>0.06718199568469772</v>
      </c>
      <c r="F9" s="6" t="n">
        <v>0.2497050894187119</v>
      </c>
      <c r="G9" s="6" t="n">
        <v>8</v>
      </c>
      <c r="H9" s="6" t="n">
        <v>4</v>
      </c>
      <c r="I9" s="6" t="inlineStr">
        <is>
          <t>***生活用品服务有限公司***分公司</t>
        </is>
      </c>
      <c r="J9" s="6" t="inlineStr">
        <is>
          <t>A</t>
        </is>
      </c>
      <c r="K9" s="6" t="inlineStr">
        <is>
          <t>否</t>
        </is>
      </c>
      <c r="L9" s="6" t="b">
        <v>0</v>
      </c>
    </row>
    <row r="10">
      <c r="A10" s="6" t="inlineStr">
        <is>
          <t>E31</t>
        </is>
      </c>
      <c r="B10" s="6" t="n">
        <v>0.03029023624524089</v>
      </c>
      <c r="C10" s="6" t="inlineStr">
        <is>
          <t>A</t>
        </is>
      </c>
      <c r="D10" s="6" t="n">
        <v>0.7548154204625147</v>
      </c>
      <c r="E10" s="6" t="n">
        <v>0.07685674375456417</v>
      </c>
      <c r="F10" s="6" t="n">
        <v>0.2366080911854891</v>
      </c>
      <c r="G10" s="6" t="n">
        <v>9</v>
      </c>
      <c r="H10" s="6" t="n">
        <v>14</v>
      </c>
      <c r="I10" s="6" t="inlineStr">
        <is>
          <t>***食品有限公司</t>
        </is>
      </c>
      <c r="J10" s="6" t="inlineStr">
        <is>
          <t>A</t>
        </is>
      </c>
      <c r="K10" s="6" t="inlineStr">
        <is>
          <t>否</t>
        </is>
      </c>
      <c r="L10" s="6" t="b">
        <v>0</v>
      </c>
    </row>
    <row r="11">
      <c r="A11" s="6" t="inlineStr">
        <is>
          <t>E13</t>
        </is>
      </c>
      <c r="B11" s="6" t="n">
        <v>0.03123409840479768</v>
      </c>
      <c r="C11" s="6" t="inlineStr">
        <is>
          <t>A</t>
        </is>
      </c>
      <c r="D11" s="6" t="n">
        <v>0.7961132039463671</v>
      </c>
      <c r="E11" s="6" t="n">
        <v>0.06248456334706083</v>
      </c>
      <c r="F11" s="6" t="n">
        <v>0.243982380842028</v>
      </c>
      <c r="G11" s="6" t="n">
        <v>10</v>
      </c>
      <c r="H11" s="6" t="n">
        <v>3</v>
      </c>
      <c r="I11" s="6" t="inlineStr">
        <is>
          <t>***汽车贸易有限公司</t>
        </is>
      </c>
      <c r="J11" s="6" t="inlineStr">
        <is>
          <t>A</t>
        </is>
      </c>
      <c r="K11" s="6" t="inlineStr">
        <is>
          <t>否</t>
        </is>
      </c>
      <c r="L11" s="6" t="b">
        <v>0</v>
      </c>
    </row>
    <row r="12">
      <c r="A12" s="6" t="inlineStr">
        <is>
          <t>E36</t>
        </is>
      </c>
      <c r="B12" s="6" t="n">
        <v>0.03355942715104538</v>
      </c>
      <c r="C12" s="6" t="inlineStr">
        <is>
          <t>A</t>
        </is>
      </c>
      <c r="D12" s="6" t="n">
        <v>0.7646147738637311</v>
      </c>
      <c r="E12" s="6" t="n">
        <v>0.07149299872480361</v>
      </c>
      <c r="F12" s="6" t="n">
        <v>0.232234639149185</v>
      </c>
      <c r="G12" s="6" t="n">
        <v>11</v>
      </c>
      <c r="H12" s="6" t="n">
        <v>10</v>
      </c>
      <c r="I12" s="6" t="inlineStr">
        <is>
          <t>***超硬材料有限公司</t>
        </is>
      </c>
      <c r="J12" s="6" t="inlineStr">
        <is>
          <t>D</t>
        </is>
      </c>
      <c r="K12" s="6" t="inlineStr">
        <is>
          <t>是</t>
        </is>
      </c>
      <c r="L12" s="6" t="b">
        <v>1</v>
      </c>
    </row>
    <row r="13">
      <c r="A13" s="6" t="inlineStr">
        <is>
          <t>E3</t>
        </is>
      </c>
      <c r="B13" s="6" t="n">
        <v>0.03606070731769106</v>
      </c>
      <c r="C13" s="6" t="inlineStr">
        <is>
          <t>A</t>
        </is>
      </c>
      <c r="D13" s="6" t="n">
        <v>0.7374004196297764</v>
      </c>
      <c r="E13" s="6" t="n">
        <v>0.08645518629568905</v>
      </c>
      <c r="F13" s="6" t="n">
        <v>0.2427730103899302</v>
      </c>
      <c r="G13" s="6" t="n">
        <v>12</v>
      </c>
      <c r="H13" s="6" t="n">
        <v>19</v>
      </c>
      <c r="I13" s="6" t="inlineStr">
        <is>
          <t>***电子(中国)有限公司***分公司</t>
        </is>
      </c>
      <c r="J13" s="6" t="inlineStr">
        <is>
          <t>C</t>
        </is>
      </c>
      <c r="K13" s="6" t="inlineStr">
        <is>
          <t>否</t>
        </is>
      </c>
      <c r="L13" s="6" t="b">
        <v>0</v>
      </c>
    </row>
    <row r="14">
      <c r="A14" s="6" t="inlineStr">
        <is>
          <t>E4</t>
        </is>
      </c>
      <c r="B14" s="6" t="n">
        <v>0.03621110354367287</v>
      </c>
      <c r="C14" s="6" t="inlineStr">
        <is>
          <t>A</t>
        </is>
      </c>
      <c r="D14" s="6" t="n">
        <v>0.6841166941205883</v>
      </c>
      <c r="E14" s="6" t="n">
        <v>0.1085490668705224</v>
      </c>
      <c r="F14" s="6" t="n">
        <v>0.2350875383255778</v>
      </c>
      <c r="G14" s="6" t="n">
        <v>13</v>
      </c>
      <c r="H14" s="6" t="n">
        <v>47</v>
      </c>
      <c r="I14" s="6" t="inlineStr">
        <is>
          <t>***发展有限责任公司</t>
        </is>
      </c>
      <c r="J14" s="6" t="inlineStr">
        <is>
          <t>C</t>
        </is>
      </c>
      <c r="K14" s="6" t="inlineStr">
        <is>
          <t>否</t>
        </is>
      </c>
      <c r="L14" s="6" t="b">
        <v>0</v>
      </c>
    </row>
    <row r="15">
      <c r="A15" s="6" t="inlineStr">
        <is>
          <t>E17</t>
        </is>
      </c>
      <c r="B15" s="6" t="n">
        <v>0.03774428395085142</v>
      </c>
      <c r="C15" s="6" t="inlineStr">
        <is>
          <t>A</t>
        </is>
      </c>
      <c r="D15" s="6" t="n">
        <v>0.7673965691000133</v>
      </c>
      <c r="E15" s="6" t="n">
        <v>0.06946835042412589</v>
      </c>
      <c r="F15" s="6" t="n">
        <v>0.2291873923365879</v>
      </c>
      <c r="G15" s="6" t="n">
        <v>14</v>
      </c>
      <c r="H15" s="6" t="n">
        <v>8</v>
      </c>
      <c r="I15" s="6" t="inlineStr">
        <is>
          <t>***消防工程有限公司</t>
        </is>
      </c>
      <c r="J15" s="6" t="inlineStr">
        <is>
          <t>A</t>
        </is>
      </c>
      <c r="K15" s="6" t="inlineStr">
        <is>
          <t>否</t>
        </is>
      </c>
      <c r="L15" s="6" t="b">
        <v>0</v>
      </c>
    </row>
    <row r="16">
      <c r="A16" s="6" t="inlineStr">
        <is>
          <t>E16</t>
        </is>
      </c>
      <c r="B16" s="6" t="n">
        <v>0.0389907435846314</v>
      </c>
      <c r="C16" s="6" t="inlineStr">
        <is>
          <t>A</t>
        </is>
      </c>
      <c r="D16" s="6" t="n">
        <v>0.7289822033515393</v>
      </c>
      <c r="E16" s="6" t="n">
        <v>0.08635890825610336</v>
      </c>
      <c r="F16" s="6" t="n">
        <v>0.232287724267886</v>
      </c>
      <c r="G16" s="6" t="n">
        <v>15</v>
      </c>
      <c r="H16" s="6" t="n">
        <v>27</v>
      </c>
      <c r="I16" s="6" t="inlineStr">
        <is>
          <t>***建筑劳务有限公司</t>
        </is>
      </c>
      <c r="J16" s="6" t="inlineStr">
        <is>
          <t>A</t>
        </is>
      </c>
      <c r="K16" s="6" t="inlineStr">
        <is>
          <t>否</t>
        </is>
      </c>
      <c r="L16" s="6" t="b">
        <v>0</v>
      </c>
    </row>
    <row r="17">
      <c r="A17" s="6" t="inlineStr">
        <is>
          <t>E24</t>
        </is>
      </c>
      <c r="B17" s="6" t="n">
        <v>0.0395328628327646</v>
      </c>
      <c r="C17" s="6" t="inlineStr">
        <is>
          <t>A</t>
        </is>
      </c>
      <c r="D17" s="6" t="n">
        <v>0.7632130435969461</v>
      </c>
      <c r="E17" s="6" t="n">
        <v>0.07198750764469952</v>
      </c>
      <c r="F17" s="6" t="n">
        <v>0.2320305376827797</v>
      </c>
      <c r="G17" s="6" t="n">
        <v>16</v>
      </c>
      <c r="H17" s="6" t="n">
        <v>11</v>
      </c>
      <c r="I17" s="6" t="inlineStr">
        <is>
          <t>***建筑工程有限公司</t>
        </is>
      </c>
      <c r="J17" s="6" t="inlineStr">
        <is>
          <t>A</t>
        </is>
      </c>
      <c r="K17" s="6" t="inlineStr">
        <is>
          <t>否</t>
        </is>
      </c>
      <c r="L17" s="6" t="b">
        <v>0</v>
      </c>
    </row>
    <row r="18">
      <c r="A18" s="6" t="inlineStr">
        <is>
          <t>E29</t>
        </is>
      </c>
      <c r="B18" s="6" t="n">
        <v>0.0420227764059876</v>
      </c>
      <c r="C18" s="6" t="inlineStr">
        <is>
          <t>A</t>
        </is>
      </c>
      <c r="D18" s="6" t="n">
        <v>0.6152784472960441</v>
      </c>
      <c r="E18" s="6" t="n">
        <v>0.1295380845296145</v>
      </c>
      <c r="F18" s="6" t="n">
        <v>0.2071679919019661</v>
      </c>
      <c r="G18" s="6" t="n">
        <v>17</v>
      </c>
      <c r="H18" s="6" t="n">
        <v>85</v>
      </c>
      <c r="I18" s="6" t="inlineStr">
        <is>
          <t>***建筑劳务有限公司</t>
        </is>
      </c>
      <c r="J18" s="6" t="inlineStr">
        <is>
          <t>C</t>
        </is>
      </c>
      <c r="K18" s="6" t="inlineStr">
        <is>
          <t>是</t>
        </is>
      </c>
      <c r="L18" s="6" t="b">
        <v>0</v>
      </c>
    </row>
    <row r="19">
      <c r="A19" s="6" t="inlineStr">
        <is>
          <t>E48</t>
        </is>
      </c>
      <c r="B19" s="6" t="n">
        <v>0.04281419051304081</v>
      </c>
      <c r="C19" s="6" t="inlineStr">
        <is>
          <t>A</t>
        </is>
      </c>
      <c r="D19" s="6" t="n">
        <v>0.7599629132467565</v>
      </c>
      <c r="E19" s="6" t="n">
        <v>0.07336525558714768</v>
      </c>
      <c r="F19" s="6" t="n">
        <v>0.2322760791727874</v>
      </c>
      <c r="G19" s="6" t="n">
        <v>18</v>
      </c>
      <c r="H19" s="6" t="n">
        <v>13</v>
      </c>
      <c r="I19" s="6" t="inlineStr">
        <is>
          <t>***化工有限公司</t>
        </is>
      </c>
      <c r="J19" s="6" t="inlineStr">
        <is>
          <t>A</t>
        </is>
      </c>
      <c r="K19" s="6" t="inlineStr">
        <is>
          <t>否</t>
        </is>
      </c>
      <c r="L19" s="6" t="b">
        <v>0</v>
      </c>
    </row>
    <row r="20">
      <c r="A20" s="6" t="inlineStr">
        <is>
          <t>E46</t>
        </is>
      </c>
      <c r="B20" s="6" t="n">
        <v>0.04343361053107686</v>
      </c>
      <c r="C20" s="6" t="inlineStr">
        <is>
          <t>A</t>
        </is>
      </c>
      <c r="D20" s="6" t="n">
        <v>0.7303889138462101</v>
      </c>
      <c r="E20" s="6" t="n">
        <v>0.08262914336688458</v>
      </c>
      <c r="F20" s="6" t="n">
        <v>0.2238461746389625</v>
      </c>
      <c r="G20" s="6" t="n">
        <v>19</v>
      </c>
      <c r="H20" s="6" t="n">
        <v>26</v>
      </c>
      <c r="I20" s="6" t="inlineStr">
        <is>
          <t>***广告传媒有限公司</t>
        </is>
      </c>
      <c r="J20" s="6" t="inlineStr">
        <is>
          <t>C</t>
        </is>
      </c>
      <c r="K20" s="6" t="inlineStr">
        <is>
          <t>否</t>
        </is>
      </c>
      <c r="L20" s="6" t="b">
        <v>0</v>
      </c>
    </row>
    <row r="21">
      <c r="A21" s="6" t="inlineStr">
        <is>
          <t>E40</t>
        </is>
      </c>
      <c r="B21" s="6" t="n">
        <v>0.04368328229263352</v>
      </c>
      <c r="C21" s="6" t="inlineStr">
        <is>
          <t>A</t>
        </is>
      </c>
      <c r="D21" s="6" t="n">
        <v>0.7873465247518898</v>
      </c>
      <c r="E21" s="6" t="n">
        <v>0.0632388708764989</v>
      </c>
      <c r="F21" s="6" t="n">
        <v>0.2341410369887071</v>
      </c>
      <c r="G21" s="6" t="n">
        <v>20</v>
      </c>
      <c r="H21" s="6" t="n">
        <v>5</v>
      </c>
      <c r="I21" s="6" t="inlineStr">
        <is>
          <t>***财税咨询服务有限公司</t>
        </is>
      </c>
      <c r="J21" s="6" t="inlineStr">
        <is>
          <t>C</t>
        </is>
      </c>
      <c r="K21" s="6" t="inlineStr">
        <is>
          <t>否</t>
        </is>
      </c>
      <c r="L21" s="6" t="b">
        <v>0</v>
      </c>
    </row>
    <row r="22">
      <c r="A22" s="6" t="inlineStr">
        <is>
          <t>E75</t>
        </is>
      </c>
      <c r="B22" s="6" t="n">
        <v>0.04632433009130059</v>
      </c>
      <c r="C22" s="6" t="inlineStr">
        <is>
          <t>A</t>
        </is>
      </c>
      <c r="D22" s="6" t="n">
        <v>0.7032666906859734</v>
      </c>
      <c r="E22" s="6" t="n">
        <v>0.0958384556034091</v>
      </c>
      <c r="F22" s="6" t="n">
        <v>0.2271399650699009</v>
      </c>
      <c r="G22" s="6" t="n">
        <v>21</v>
      </c>
      <c r="H22" s="6" t="n">
        <v>39</v>
      </c>
      <c r="I22" s="6" t="inlineStr">
        <is>
          <t>***酒店管理有限公司</t>
        </is>
      </c>
      <c r="J22" s="6" t="inlineStr">
        <is>
          <t>C</t>
        </is>
      </c>
      <c r="K22" s="6" t="inlineStr">
        <is>
          <t>否</t>
        </is>
      </c>
      <c r="L22" s="6" t="b">
        <v>0</v>
      </c>
    </row>
    <row r="23">
      <c r="A23" s="6" t="inlineStr">
        <is>
          <t>E47</t>
        </is>
      </c>
      <c r="B23" s="6" t="n">
        <v>0.04695604476725505</v>
      </c>
      <c r="C23" s="6" t="inlineStr">
        <is>
          <t>A</t>
        </is>
      </c>
      <c r="D23" s="6" t="n">
        <v>0.7429366500861967</v>
      </c>
      <c r="E23" s="6" t="n">
        <v>0.07982591100730609</v>
      </c>
      <c r="F23" s="6" t="n">
        <v>0.230704201644197</v>
      </c>
      <c r="G23" s="6" t="n">
        <v>22</v>
      </c>
      <c r="H23" s="6" t="n">
        <v>18</v>
      </c>
      <c r="I23" s="6" t="inlineStr">
        <is>
          <t>***控制设备有限责任公司</t>
        </is>
      </c>
      <c r="J23" s="6" t="inlineStr">
        <is>
          <t>C</t>
        </is>
      </c>
      <c r="K23" s="6" t="inlineStr">
        <is>
          <t>否</t>
        </is>
      </c>
      <c r="L23" s="6" t="b">
        <v>0</v>
      </c>
    </row>
    <row r="24">
      <c r="A24" s="6" t="inlineStr">
        <is>
          <t>E18</t>
        </is>
      </c>
      <c r="B24" s="6" t="n">
        <v>0.0475440416830518</v>
      </c>
      <c r="C24" s="6" t="inlineStr">
        <is>
          <t>A</t>
        </is>
      </c>
      <c r="D24" s="6" t="n">
        <v>0.7369173681309599</v>
      </c>
      <c r="E24" s="6" t="n">
        <v>0.08145788106942209</v>
      </c>
      <c r="F24" s="6" t="n">
        <v>0.2281706204044837</v>
      </c>
      <c r="G24" s="6" t="n">
        <v>23</v>
      </c>
      <c r="H24" s="6" t="n">
        <v>21</v>
      </c>
      <c r="I24" s="6" t="inlineStr">
        <is>
          <t>***消防工程有限责任公司</t>
        </is>
      </c>
      <c r="J24" s="6" t="inlineStr">
        <is>
          <t>A</t>
        </is>
      </c>
      <c r="K24" s="6" t="inlineStr">
        <is>
          <t>否</t>
        </is>
      </c>
      <c r="L24" s="6" t="b">
        <v>0</v>
      </c>
    </row>
    <row r="25">
      <c r="A25" s="6" t="inlineStr">
        <is>
          <t>E19</t>
        </is>
      </c>
      <c r="B25" s="6" t="n">
        <v>0.04785572382404164</v>
      </c>
      <c r="C25" s="6" t="inlineStr">
        <is>
          <t>A</t>
        </is>
      </c>
      <c r="D25" s="6" t="n">
        <v>0.602112165429938</v>
      </c>
      <c r="E25" s="6" t="n">
        <v>0.1347677007457047</v>
      </c>
      <c r="F25" s="6" t="n">
        <v>0.2039400682197074</v>
      </c>
      <c r="G25" s="6" t="n">
        <v>24</v>
      </c>
      <c r="H25" s="6" t="n">
        <v>89</v>
      </c>
      <c r="I25" s="6" t="inlineStr">
        <is>
          <t>***科技有限公司</t>
        </is>
      </c>
      <c r="J25" s="6" t="inlineStr">
        <is>
          <t>A</t>
        </is>
      </c>
      <c r="K25" s="6" t="inlineStr">
        <is>
          <t>否</t>
        </is>
      </c>
      <c r="L25" s="6" t="b">
        <v>0</v>
      </c>
    </row>
    <row r="26">
      <c r="A26" s="6" t="inlineStr">
        <is>
          <t>E6</t>
        </is>
      </c>
      <c r="B26" s="6" t="n">
        <v>0.04862402221675421</v>
      </c>
      <c r="C26" s="6" t="inlineStr">
        <is>
          <t>A</t>
        </is>
      </c>
      <c r="D26" s="6" t="n">
        <v>0.7756295403733278</v>
      </c>
      <c r="E26" s="6" t="n">
        <v>0.0683943431428094</v>
      </c>
      <c r="F26" s="6" t="n">
        <v>0.2364334102816389</v>
      </c>
      <c r="G26" s="6" t="n">
        <v>25</v>
      </c>
      <c r="H26" s="6" t="n">
        <v>7</v>
      </c>
      <c r="I26" s="6" t="inlineStr">
        <is>
          <t>***装饰设计工程有限公司</t>
        </is>
      </c>
      <c r="J26" s="6" t="inlineStr">
        <is>
          <t>A</t>
        </is>
      </c>
      <c r="K26" s="6" t="inlineStr">
        <is>
          <t>否</t>
        </is>
      </c>
      <c r="L26" s="6" t="b">
        <v>0</v>
      </c>
    </row>
    <row r="27">
      <c r="A27" s="6" t="inlineStr">
        <is>
          <t>E21</t>
        </is>
      </c>
      <c r="B27" s="6" t="n">
        <v>0.04899485014562435</v>
      </c>
      <c r="C27" s="6" t="inlineStr">
        <is>
          <t>A</t>
        </is>
      </c>
      <c r="D27" s="6" t="n">
        <v>0.7599940174784231</v>
      </c>
      <c r="E27" s="6" t="n">
        <v>0.07061083081147049</v>
      </c>
      <c r="F27" s="6" t="n">
        <v>0.2235936305507477</v>
      </c>
      <c r="G27" s="6" t="n">
        <v>26</v>
      </c>
      <c r="H27" s="6" t="n">
        <v>12</v>
      </c>
      <c r="I27" s="6" t="inlineStr">
        <is>
          <t>***建设工程有限公司</t>
        </is>
      </c>
      <c r="J27" s="6" t="inlineStr">
        <is>
          <t>B</t>
        </is>
      </c>
      <c r="K27" s="6" t="inlineStr">
        <is>
          <t>否</t>
        </is>
      </c>
      <c r="L27" s="6" t="b">
        <v>0</v>
      </c>
    </row>
    <row r="28">
      <c r="A28" s="6" t="inlineStr">
        <is>
          <t>E51</t>
        </is>
      </c>
      <c r="B28" s="6" t="n">
        <v>0.05315576229056488</v>
      </c>
      <c r="C28" s="6" t="inlineStr">
        <is>
          <t>A</t>
        </is>
      </c>
      <c r="D28" s="6" t="n">
        <v>0.7312806265891683</v>
      </c>
      <c r="E28" s="6" t="n">
        <v>0.08204469026775382</v>
      </c>
      <c r="F28" s="6" t="n">
        <v>0.2232726719542835</v>
      </c>
      <c r="G28" s="6" t="n">
        <v>27</v>
      </c>
      <c r="H28" s="6" t="n">
        <v>25</v>
      </c>
      <c r="I28" s="6" t="inlineStr">
        <is>
          <t>***物流有限公司</t>
        </is>
      </c>
      <c r="J28" s="6" t="inlineStr">
        <is>
          <t>B</t>
        </is>
      </c>
      <c r="K28" s="6" t="inlineStr">
        <is>
          <t>否</t>
        </is>
      </c>
      <c r="L28" s="6" t="b">
        <v>0</v>
      </c>
    </row>
    <row r="29">
      <c r="A29" s="6" t="inlineStr">
        <is>
          <t>E61</t>
        </is>
      </c>
      <c r="B29" s="6" t="n">
        <v>0.05645656576397333</v>
      </c>
      <c r="C29" s="6" t="inlineStr">
        <is>
          <t>A</t>
        </is>
      </c>
      <c r="D29" s="6" t="n">
        <v>0.7003455698106157</v>
      </c>
      <c r="E29" s="6" t="n">
        <v>0.0966398507192015</v>
      </c>
      <c r="F29" s="6" t="n">
        <v>0.2258644775436051</v>
      </c>
      <c r="G29" s="6" t="n">
        <v>28</v>
      </c>
      <c r="H29" s="6" t="n">
        <v>42</v>
      </c>
      <c r="I29" s="6" t="inlineStr">
        <is>
          <t>***调味品有限公司</t>
        </is>
      </c>
      <c r="J29" s="6" t="inlineStr">
        <is>
          <t>B</t>
        </is>
      </c>
      <c r="K29" s="6" t="inlineStr">
        <is>
          <t>否</t>
        </is>
      </c>
      <c r="L29" s="6" t="b">
        <v>0</v>
      </c>
    </row>
    <row r="30">
      <c r="A30" s="6" t="inlineStr">
        <is>
          <t>E41</t>
        </is>
      </c>
      <c r="B30" s="6" t="n">
        <v>0.05792726832889572</v>
      </c>
      <c r="C30" s="6" t="inlineStr">
        <is>
          <t>A</t>
        </is>
      </c>
      <c r="D30" s="6" t="n">
        <v>0.7323605564200453</v>
      </c>
      <c r="E30" s="6" t="n">
        <v>0.08359214638659311</v>
      </c>
      <c r="F30" s="6" t="n">
        <v>0.2287390454155628</v>
      </c>
      <c r="G30" s="6" t="n">
        <v>29</v>
      </c>
      <c r="H30" s="6" t="n">
        <v>24</v>
      </c>
      <c r="I30" s="6" t="inlineStr">
        <is>
          <t>***物业发展有限公司</t>
        </is>
      </c>
      <c r="J30" s="6" t="inlineStr">
        <is>
          <t>C</t>
        </is>
      </c>
      <c r="K30" s="6" t="inlineStr">
        <is>
          <t>否</t>
        </is>
      </c>
      <c r="L30" s="6" t="b">
        <v>0</v>
      </c>
    </row>
    <row r="31">
      <c r="A31" s="6" t="inlineStr">
        <is>
          <t>E5</t>
        </is>
      </c>
      <c r="B31" s="6" t="n">
        <v>0.05807896051822666</v>
      </c>
      <c r="C31" s="6" t="inlineStr">
        <is>
          <t>A</t>
        </is>
      </c>
      <c r="D31" s="6" t="n">
        <v>0.7356532392750084</v>
      </c>
      <c r="E31" s="6" t="n">
        <v>0.08012848303998944</v>
      </c>
      <c r="F31" s="6" t="n">
        <v>0.2229903553381728</v>
      </c>
      <c r="G31" s="6" t="n">
        <v>30</v>
      </c>
      <c r="H31" s="6" t="n">
        <v>23</v>
      </c>
      <c r="I31" s="6" t="inlineStr">
        <is>
          <t>***供应链管理有限公司</t>
        </is>
      </c>
      <c r="J31" s="6" t="inlineStr">
        <is>
          <t>B</t>
        </is>
      </c>
      <c r="K31" s="6" t="inlineStr">
        <is>
          <t>否</t>
        </is>
      </c>
      <c r="L31" s="6" t="b">
        <v>0</v>
      </c>
    </row>
    <row r="32">
      <c r="A32" s="6" t="inlineStr">
        <is>
          <t>E25</t>
        </is>
      </c>
      <c r="B32" s="6" t="n">
        <v>0.05960413957572462</v>
      </c>
      <c r="C32" s="6" t="inlineStr">
        <is>
          <t>A</t>
        </is>
      </c>
      <c r="D32" s="6" t="n">
        <v>0.7534614560314942</v>
      </c>
      <c r="E32" s="6" t="n">
        <v>0.07487432751258359</v>
      </c>
      <c r="F32" s="6" t="n">
        <v>0.2288279914325159</v>
      </c>
      <c r="G32" s="6" t="n">
        <v>31</v>
      </c>
      <c r="H32" s="6" t="n">
        <v>15</v>
      </c>
      <c r="I32" s="6" t="inlineStr">
        <is>
          <t>***通讯设备有限公司</t>
        </is>
      </c>
      <c r="J32" s="6" t="inlineStr">
        <is>
          <t>C</t>
        </is>
      </c>
      <c r="K32" s="6" t="inlineStr">
        <is>
          <t>否</t>
        </is>
      </c>
      <c r="L32" s="6" t="b">
        <v>0</v>
      </c>
    </row>
    <row r="33">
      <c r="A33" s="6" t="inlineStr">
        <is>
          <t>E45</t>
        </is>
      </c>
      <c r="B33" s="6" t="n">
        <v>0.06106307851470301</v>
      </c>
      <c r="C33" s="6" t="inlineStr">
        <is>
          <t>A</t>
        </is>
      </c>
      <c r="D33" s="6" t="n">
        <v>0.7197718693277447</v>
      </c>
      <c r="E33" s="6" t="n">
        <v>0.08324566920098467</v>
      </c>
      <c r="F33" s="6" t="n">
        <v>0.2138182586826361</v>
      </c>
      <c r="G33" s="6" t="n">
        <v>32</v>
      </c>
      <c r="H33" s="6" t="n">
        <v>28</v>
      </c>
      <c r="I33" s="6" t="inlineStr">
        <is>
          <t>个体经营E45</t>
        </is>
      </c>
      <c r="J33" s="6" t="inlineStr">
        <is>
          <t>B</t>
        </is>
      </c>
      <c r="K33" s="6" t="inlineStr">
        <is>
          <t>是</t>
        </is>
      </c>
      <c r="L33" s="6" t="b">
        <v>0</v>
      </c>
    </row>
    <row r="34">
      <c r="A34" s="6" t="inlineStr">
        <is>
          <t>E10</t>
        </is>
      </c>
      <c r="B34" s="6" t="n">
        <v>0.06156688228251685</v>
      </c>
      <c r="C34" s="6" t="inlineStr">
        <is>
          <t>A</t>
        </is>
      </c>
      <c r="D34" s="6" t="n">
        <v>0.7129108446438341</v>
      </c>
      <c r="E34" s="6" t="n">
        <v>0.0947484512273285</v>
      </c>
      <c r="F34" s="6" t="n">
        <v>0.2352830022763143</v>
      </c>
      <c r="G34" s="6" t="n">
        <v>33</v>
      </c>
      <c r="H34" s="6" t="n">
        <v>34</v>
      </c>
      <c r="I34" s="6" t="inlineStr">
        <is>
          <t>***建筑劳务有限公司</t>
        </is>
      </c>
      <c r="J34" s="6" t="inlineStr">
        <is>
          <t>B</t>
        </is>
      </c>
      <c r="K34" s="6" t="inlineStr">
        <is>
          <t>否</t>
        </is>
      </c>
      <c r="L34" s="6" t="b">
        <v>0</v>
      </c>
    </row>
    <row r="35">
      <c r="A35" s="6" t="inlineStr">
        <is>
          <t>E20</t>
        </is>
      </c>
      <c r="B35" s="6" t="n">
        <v>0.06252440272551799</v>
      </c>
      <c r="C35" s="6" t="inlineStr">
        <is>
          <t>A</t>
        </is>
      </c>
      <c r="D35" s="6" t="n">
        <v>0.7018536319553157</v>
      </c>
      <c r="E35" s="6" t="n">
        <v>0.09473693918169762</v>
      </c>
      <c r="F35" s="6" t="n">
        <v>0.223016182558491</v>
      </c>
      <c r="G35" s="6" t="n">
        <v>34</v>
      </c>
      <c r="H35" s="6" t="n">
        <v>40</v>
      </c>
      <c r="I35" s="6" t="inlineStr">
        <is>
          <t>***贸易有限公司</t>
        </is>
      </c>
      <c r="J35" s="6" t="inlineStr">
        <is>
          <t>B</t>
        </is>
      </c>
      <c r="K35" s="6" t="inlineStr">
        <is>
          <t>否</t>
        </is>
      </c>
      <c r="L35" s="6" t="b">
        <v>0</v>
      </c>
    </row>
    <row r="36">
      <c r="A36" s="6" t="inlineStr">
        <is>
          <t>E69</t>
        </is>
      </c>
      <c r="B36" s="6" t="n">
        <v>0.06293489807587462</v>
      </c>
      <c r="C36" s="6" t="inlineStr">
        <is>
          <t>A</t>
        </is>
      </c>
      <c r="D36" s="6" t="n">
        <v>0.6459957832911301</v>
      </c>
      <c r="E36" s="6" t="n">
        <v>0.1179883852670013</v>
      </c>
      <c r="F36" s="6" t="n">
        <v>0.2153081679885606</v>
      </c>
      <c r="G36" s="6" t="n">
        <v>35</v>
      </c>
      <c r="H36" s="6" t="n">
        <v>75</v>
      </c>
      <c r="I36" s="6" t="inlineStr">
        <is>
          <t>***电子器材经营部</t>
        </is>
      </c>
      <c r="J36" s="6" t="inlineStr">
        <is>
          <t>C</t>
        </is>
      </c>
      <c r="K36" s="6" t="inlineStr">
        <is>
          <t>否</t>
        </is>
      </c>
      <c r="L36" s="6" t="b">
        <v>0</v>
      </c>
    </row>
    <row r="37">
      <c r="A37" s="6" t="inlineStr">
        <is>
          <t>E59</t>
        </is>
      </c>
      <c r="B37" s="6" t="n">
        <v>0.06333024575615526</v>
      </c>
      <c r="C37" s="6" t="inlineStr">
        <is>
          <t>A</t>
        </is>
      </c>
      <c r="D37" s="6" t="n">
        <v>0.7188737166733119</v>
      </c>
      <c r="E37" s="6" t="n">
        <v>0.08710461284253862</v>
      </c>
      <c r="F37" s="6" t="n">
        <v>0.2227369708464437</v>
      </c>
      <c r="G37" s="6" t="n">
        <v>36</v>
      </c>
      <c r="H37" s="6" t="n">
        <v>29</v>
      </c>
      <c r="I37" s="6" t="inlineStr">
        <is>
          <t>***商贸有限公司</t>
        </is>
      </c>
      <c r="J37" s="6" t="inlineStr">
        <is>
          <t>A</t>
        </is>
      </c>
      <c r="K37" s="6" t="inlineStr">
        <is>
          <t>否</t>
        </is>
      </c>
      <c r="L37" s="6" t="b">
        <v>0</v>
      </c>
    </row>
    <row r="38">
      <c r="A38" s="6" t="inlineStr">
        <is>
          <t>E56</t>
        </is>
      </c>
      <c r="B38" s="6" t="n">
        <v>0.06616287292158238</v>
      </c>
      <c r="C38" s="6" t="inlineStr">
        <is>
          <t>A</t>
        </is>
      </c>
      <c r="D38" s="6" t="n">
        <v>0.7104796533787593</v>
      </c>
      <c r="E38" s="6" t="n">
        <v>0.08783646310427611</v>
      </c>
      <c r="F38" s="6" t="n">
        <v>0.2155496861917747</v>
      </c>
      <c r="G38" s="6" t="n">
        <v>37</v>
      </c>
      <c r="H38" s="6" t="n">
        <v>36</v>
      </c>
      <c r="I38" s="6" t="inlineStr">
        <is>
          <t>***家居材料***有限公司</t>
        </is>
      </c>
      <c r="J38" s="6" t="inlineStr">
        <is>
          <t>C</t>
        </is>
      </c>
      <c r="K38" s="6" t="inlineStr">
        <is>
          <t>否</t>
        </is>
      </c>
      <c r="L38" s="6" t="b">
        <v>0</v>
      </c>
    </row>
    <row r="39">
      <c r="A39" s="6" t="inlineStr">
        <is>
          <t>E22</t>
        </is>
      </c>
      <c r="B39" s="6" t="n">
        <v>0.0687888882711373</v>
      </c>
      <c r="C39" s="6" t="inlineStr">
        <is>
          <t>A</t>
        </is>
      </c>
      <c r="D39" s="6" t="n">
        <v>0.7370854528298706</v>
      </c>
      <c r="E39" s="6" t="n">
        <v>0.08029691602437042</v>
      </c>
      <c r="F39" s="6" t="n">
        <v>0.2251137844813384</v>
      </c>
      <c r="G39" s="6" t="n">
        <v>38</v>
      </c>
      <c r="H39" s="6" t="n">
        <v>20</v>
      </c>
      <c r="I39" s="6" t="inlineStr">
        <is>
          <t>***物流有限公司</t>
        </is>
      </c>
      <c r="J39" s="6" t="inlineStr">
        <is>
          <t>A</t>
        </is>
      </c>
      <c r="K39" s="6" t="inlineStr">
        <is>
          <t>否</t>
        </is>
      </c>
      <c r="L39" s="6" t="b">
        <v>0</v>
      </c>
    </row>
    <row r="40">
      <c r="A40" s="6" t="inlineStr">
        <is>
          <t>E95</t>
        </is>
      </c>
      <c r="B40" s="6" t="n">
        <v>0.0702647410889778</v>
      </c>
      <c r="C40" s="6" t="inlineStr">
        <is>
          <t>A</t>
        </is>
      </c>
      <c r="D40" s="6" t="n">
        <v>0.6366521369833542</v>
      </c>
      <c r="E40" s="6" t="n">
        <v>0.1222630522558577</v>
      </c>
      <c r="F40" s="6" t="n">
        <v>0.2142273050584403</v>
      </c>
      <c r="G40" s="6" t="n">
        <v>39</v>
      </c>
      <c r="H40" s="6" t="n">
        <v>81</v>
      </c>
      <c r="I40" s="6" t="inlineStr">
        <is>
          <t>***兰花店</t>
        </is>
      </c>
      <c r="J40" s="6" t="inlineStr">
        <is>
          <t>B</t>
        </is>
      </c>
      <c r="K40" s="6" t="inlineStr">
        <is>
          <t>否</t>
        </is>
      </c>
      <c r="L40" s="6" t="b">
        <v>0</v>
      </c>
    </row>
    <row r="41">
      <c r="A41" s="6" t="inlineStr">
        <is>
          <t>E64</t>
        </is>
      </c>
      <c r="B41" s="6" t="n">
        <v>0.07084655025175086</v>
      </c>
      <c r="C41" s="6" t="inlineStr">
        <is>
          <t>A</t>
        </is>
      </c>
      <c r="D41" s="6" t="n">
        <v>0.6890863312391333</v>
      </c>
      <c r="E41" s="6" t="n">
        <v>0.09947394314054256</v>
      </c>
      <c r="F41" s="6" t="n">
        <v>0.2204667771789975</v>
      </c>
      <c r="G41" s="6" t="n">
        <v>40</v>
      </c>
      <c r="H41" s="6" t="n">
        <v>45</v>
      </c>
      <c r="I41" s="6" t="inlineStr">
        <is>
          <t>***图书有限责任公司</t>
        </is>
      </c>
      <c r="J41" s="6" t="inlineStr">
        <is>
          <t>A</t>
        </is>
      </c>
      <c r="K41" s="6" t="inlineStr">
        <is>
          <t>否</t>
        </is>
      </c>
      <c r="L41" s="6" t="b">
        <v>0</v>
      </c>
    </row>
    <row r="42">
      <c r="A42" s="6" t="inlineStr">
        <is>
          <t>E15</t>
        </is>
      </c>
      <c r="B42" s="6" t="n">
        <v>0.07222019749849644</v>
      </c>
      <c r="C42" s="6" t="inlineStr">
        <is>
          <t>A</t>
        </is>
      </c>
      <c r="D42" s="6" t="n">
        <v>0.6833699805325213</v>
      </c>
      <c r="E42" s="6" t="n">
        <v>0.1052909333718196</v>
      </c>
      <c r="F42" s="6" t="n">
        <v>0.2272452347050488</v>
      </c>
      <c r="G42" s="6" t="n">
        <v>41</v>
      </c>
      <c r="H42" s="6" t="n">
        <v>49</v>
      </c>
      <c r="I42" s="6" t="inlineStr">
        <is>
          <t>***劳务有限公司</t>
        </is>
      </c>
      <c r="J42" s="6" t="inlineStr">
        <is>
          <t>A</t>
        </is>
      </c>
      <c r="K42" s="6" t="inlineStr">
        <is>
          <t>否</t>
        </is>
      </c>
      <c r="L42" s="6" t="b">
        <v>0</v>
      </c>
    </row>
    <row r="43">
      <c r="A43" s="6" t="inlineStr">
        <is>
          <t>E81</t>
        </is>
      </c>
      <c r="B43" s="6" t="n">
        <v>0.07222215542695952</v>
      </c>
      <c r="C43" s="6" t="inlineStr">
        <is>
          <t>A</t>
        </is>
      </c>
      <c r="D43" s="6" t="n">
        <v>0.6788571038052195</v>
      </c>
      <c r="E43" s="6" t="n">
        <v>0.1009592093189898</v>
      </c>
      <c r="F43" s="6" t="n">
        <v>0.2134155145664038</v>
      </c>
      <c r="G43" s="6" t="n">
        <v>42</v>
      </c>
      <c r="H43" s="6" t="n">
        <v>56</v>
      </c>
      <c r="I43" s="6" t="inlineStr">
        <is>
          <t>***机械设备有限公司</t>
        </is>
      </c>
      <c r="J43" s="6" t="inlineStr">
        <is>
          <t>A</t>
        </is>
      </c>
      <c r="K43" s="6" t="inlineStr">
        <is>
          <t>否</t>
        </is>
      </c>
      <c r="L43" s="6" t="b">
        <v>0</v>
      </c>
    </row>
    <row r="44">
      <c r="A44" s="6" t="inlineStr">
        <is>
          <t>E11</t>
        </is>
      </c>
      <c r="B44" s="6" t="n">
        <v>0.07281488017687995</v>
      </c>
      <c r="C44" s="6" t="inlineStr">
        <is>
          <t>A</t>
        </is>
      </c>
      <c r="D44" s="6" t="n">
        <v>0.7158138259866738</v>
      </c>
      <c r="E44" s="6" t="n">
        <v>0.08836391936268623</v>
      </c>
      <c r="F44" s="6" t="n">
        <v>0.2225728095949394</v>
      </c>
      <c r="G44" s="6" t="n">
        <v>43</v>
      </c>
      <c r="H44" s="6" t="n">
        <v>31</v>
      </c>
      <c r="I44" s="6" t="inlineStr">
        <is>
          <t>***建设工程有限公司</t>
        </is>
      </c>
      <c r="J44" s="6" t="inlineStr">
        <is>
          <t>C</t>
        </is>
      </c>
      <c r="K44" s="6" t="inlineStr">
        <is>
          <t>否</t>
        </is>
      </c>
      <c r="L44" s="6" t="b">
        <v>0</v>
      </c>
    </row>
    <row r="45">
      <c r="A45" s="6" t="inlineStr">
        <is>
          <t>E27</t>
        </is>
      </c>
      <c r="B45" s="6" t="n">
        <v>0.07440686329123165</v>
      </c>
      <c r="C45" s="6" t="inlineStr">
        <is>
          <t>A</t>
        </is>
      </c>
      <c r="D45" s="6" t="n">
        <v>0.6066946418497595</v>
      </c>
      <c r="E45" s="6" t="n">
        <v>0.1292145797177588</v>
      </c>
      <c r="F45" s="6" t="n">
        <v>0.1993204301419328</v>
      </c>
      <c r="G45" s="6" t="n">
        <v>44</v>
      </c>
      <c r="H45" s="6" t="n">
        <v>87</v>
      </c>
      <c r="I45" s="6" t="inlineStr">
        <is>
          <t>***农业开发有限公司</t>
        </is>
      </c>
      <c r="J45" s="6" t="inlineStr">
        <is>
          <t>A</t>
        </is>
      </c>
      <c r="K45" s="6" t="inlineStr">
        <is>
          <t>否</t>
        </is>
      </c>
      <c r="L45" s="6" t="b">
        <v>0</v>
      </c>
    </row>
    <row r="46">
      <c r="A46" s="6" t="inlineStr">
        <is>
          <t>E34</t>
        </is>
      </c>
      <c r="B46" s="6" t="n">
        <v>0.07528910529678959</v>
      </c>
      <c r="C46" s="6" t="inlineStr">
        <is>
          <t>A</t>
        </is>
      </c>
      <c r="D46" s="6" t="n">
        <v>0.7059420486672956</v>
      </c>
      <c r="E46" s="6" t="n">
        <v>0.09043592435698207</v>
      </c>
      <c r="F46" s="6" t="n">
        <v>0.2171086393833149</v>
      </c>
      <c r="G46" s="6" t="n">
        <v>45</v>
      </c>
      <c r="H46" s="6" t="n">
        <v>38</v>
      </c>
      <c r="I46" s="6" t="inlineStr">
        <is>
          <t>***建设工程有限公司</t>
        </is>
      </c>
      <c r="J46" s="6" t="inlineStr">
        <is>
          <t>B</t>
        </is>
      </c>
      <c r="K46" s="6" t="inlineStr">
        <is>
          <t>否</t>
        </is>
      </c>
      <c r="L46" s="6" t="b">
        <v>0</v>
      </c>
    </row>
    <row r="47">
      <c r="A47" s="6" t="inlineStr">
        <is>
          <t>E12</t>
        </is>
      </c>
      <c r="B47" s="6" t="n">
        <v>0.07886932050946382</v>
      </c>
      <c r="C47" s="6" t="inlineStr">
        <is>
          <t>A</t>
        </is>
      </c>
      <c r="D47" s="6" t="n">
        <v>0.7135508061923891</v>
      </c>
      <c r="E47" s="6" t="n">
        <v>0.09155385741395081</v>
      </c>
      <c r="F47" s="6" t="n">
        <v>0.2280625331821475</v>
      </c>
      <c r="G47" s="6" t="n">
        <v>46</v>
      </c>
      <c r="H47" s="6" t="n">
        <v>32</v>
      </c>
      <c r="I47" s="6" t="inlineStr">
        <is>
          <t>***建筑劳务有限公司</t>
        </is>
      </c>
      <c r="J47" s="6" t="inlineStr">
        <is>
          <t>B</t>
        </is>
      </c>
      <c r="K47" s="6" t="inlineStr">
        <is>
          <t>否</t>
        </is>
      </c>
      <c r="L47" s="6" t="b">
        <v>0</v>
      </c>
    </row>
    <row r="48">
      <c r="A48" s="6" t="inlineStr">
        <is>
          <t>E33</t>
        </is>
      </c>
      <c r="B48" s="6" t="n">
        <v>0.08022553988035391</v>
      </c>
      <c r="C48" s="6" t="inlineStr">
        <is>
          <t>A</t>
        </is>
      </c>
      <c r="D48" s="6" t="n">
        <v>0.6742025039668413</v>
      </c>
      <c r="E48" s="6" t="n">
        <v>0.1022949675402657</v>
      </c>
      <c r="F48" s="6" t="n">
        <v>0.2116883158974145</v>
      </c>
      <c r="G48" s="6" t="n">
        <v>47</v>
      </c>
      <c r="H48" s="6" t="n">
        <v>58</v>
      </c>
      <c r="I48" s="6" t="inlineStr">
        <is>
          <t>***园林有限责任公司</t>
        </is>
      </c>
      <c r="J48" s="6" t="inlineStr">
        <is>
          <t>B</t>
        </is>
      </c>
      <c r="K48" s="6" t="inlineStr">
        <is>
          <t>否</t>
        </is>
      </c>
      <c r="L48" s="6" t="b">
        <v>0</v>
      </c>
    </row>
    <row r="49">
      <c r="A49" s="6" t="inlineStr">
        <is>
          <t>E37</t>
        </is>
      </c>
      <c r="B49" s="6" t="n">
        <v>0.08145869924312618</v>
      </c>
      <c r="C49" s="6" t="inlineStr">
        <is>
          <t>A</t>
        </is>
      </c>
      <c r="D49" s="6" t="n">
        <v>0.6015567839505929</v>
      </c>
      <c r="E49" s="6" t="n">
        <v>0.1284932278178624</v>
      </c>
      <c r="F49" s="6" t="n">
        <v>0.193994952786345</v>
      </c>
      <c r="G49" s="6" t="n">
        <v>48</v>
      </c>
      <c r="H49" s="6" t="n">
        <v>90</v>
      </c>
      <c r="I49" s="6" t="inlineStr">
        <is>
          <t>***木业有限公司</t>
        </is>
      </c>
      <c r="J49" s="6" t="inlineStr">
        <is>
          <t>B</t>
        </is>
      </c>
      <c r="K49" s="6" t="inlineStr">
        <is>
          <t>否</t>
        </is>
      </c>
      <c r="L49" s="6" t="b">
        <v>0</v>
      </c>
    </row>
    <row r="50">
      <c r="A50" s="6" t="inlineStr">
        <is>
          <t>E74</t>
        </is>
      </c>
      <c r="B50" s="6" t="n">
        <v>0.08251810521811949</v>
      </c>
      <c r="C50" s="6" t="inlineStr">
        <is>
          <t>A</t>
        </is>
      </c>
      <c r="D50" s="6" t="n">
        <v>0.6605452906096975</v>
      </c>
      <c r="E50" s="6" t="n">
        <v>0.1118240830790689</v>
      </c>
      <c r="F50" s="6" t="n">
        <v>0.2175986056793728</v>
      </c>
      <c r="G50" s="6" t="n">
        <v>49</v>
      </c>
      <c r="H50" s="6" t="n">
        <v>67</v>
      </c>
      <c r="I50" s="6" t="inlineStr">
        <is>
          <t>***蔬菜专业合作社</t>
        </is>
      </c>
      <c r="J50" s="6" t="inlineStr">
        <is>
          <t>B</t>
        </is>
      </c>
      <c r="K50" s="6" t="inlineStr">
        <is>
          <t>否</t>
        </is>
      </c>
      <c r="L50" s="6" t="b">
        <v>0</v>
      </c>
    </row>
    <row r="51">
      <c r="A51" s="6" t="inlineStr">
        <is>
          <t>E35</t>
        </is>
      </c>
      <c r="B51" s="6" t="n">
        <v>0.08385942941932771</v>
      </c>
      <c r="C51" s="6" t="inlineStr">
        <is>
          <t>A</t>
        </is>
      </c>
      <c r="D51" s="6" t="n">
        <v>0.708205204983031</v>
      </c>
      <c r="E51" s="6" t="n">
        <v>0.08931140028773156</v>
      </c>
      <c r="F51" s="6" t="n">
        <v>0.2167646566293829</v>
      </c>
      <c r="G51" s="6" t="n">
        <v>50</v>
      </c>
      <c r="H51" s="6" t="n">
        <v>37</v>
      </c>
      <c r="I51" s="6" t="inlineStr">
        <is>
          <t>***商贸有限公司</t>
        </is>
      </c>
      <c r="J51" s="6" t="inlineStr">
        <is>
          <t>B</t>
        </is>
      </c>
      <c r="K51" s="6" t="inlineStr">
        <is>
          <t>否</t>
        </is>
      </c>
      <c r="L51" s="6" t="b">
        <v>0</v>
      </c>
    </row>
    <row r="52">
      <c r="A52" s="6" t="inlineStr">
        <is>
          <t>E49</t>
        </is>
      </c>
      <c r="B52" s="6" t="n">
        <v>0.08913766091665698</v>
      </c>
      <c r="C52" s="6" t="inlineStr">
        <is>
          <t>A</t>
        </is>
      </c>
      <c r="D52" s="6" t="n">
        <v>0.7361458503091196</v>
      </c>
      <c r="E52" s="6" t="n">
        <v>0.07944749610117018</v>
      </c>
      <c r="F52" s="6" t="n">
        <v>0.2216563379459627</v>
      </c>
      <c r="G52" s="6" t="n">
        <v>51</v>
      </c>
      <c r="H52" s="6" t="n">
        <v>22</v>
      </c>
      <c r="I52" s="6" t="inlineStr">
        <is>
          <t>***地球环保科技有限公司</t>
        </is>
      </c>
      <c r="J52" s="6" t="inlineStr">
        <is>
          <t>C</t>
        </is>
      </c>
      <c r="K52" s="6" t="inlineStr">
        <is>
          <t>否</t>
        </is>
      </c>
      <c r="L52" s="6" t="b">
        <v>0</v>
      </c>
    </row>
    <row r="53">
      <c r="A53" s="6" t="inlineStr">
        <is>
          <t>E91</t>
        </is>
      </c>
      <c r="B53" s="6" t="n">
        <v>0.090497522300232</v>
      </c>
      <c r="C53" s="6" t="inlineStr">
        <is>
          <t>A</t>
        </is>
      </c>
      <c r="D53" s="6" t="n">
        <v>0.6642294472504021</v>
      </c>
      <c r="E53" s="6" t="n">
        <v>0.1078311584468862</v>
      </c>
      <c r="F53" s="6" t="n">
        <v>0.2133142116990828</v>
      </c>
      <c r="G53" s="6" t="n">
        <v>52</v>
      </c>
      <c r="H53" s="6" t="n">
        <v>64</v>
      </c>
      <c r="I53" s="6" t="inlineStr">
        <is>
          <t>***科技实业有限公司</t>
        </is>
      </c>
      <c r="J53" s="6" t="inlineStr">
        <is>
          <t>A</t>
        </is>
      </c>
      <c r="K53" s="6" t="inlineStr">
        <is>
          <t>否</t>
        </is>
      </c>
      <c r="L53" s="6" t="b">
        <v>0</v>
      </c>
    </row>
    <row r="54">
      <c r="A54" s="6" t="inlineStr">
        <is>
          <t>E42</t>
        </is>
      </c>
      <c r="B54" s="6" t="n">
        <v>0.09350481271063961</v>
      </c>
      <c r="C54" s="6" t="inlineStr">
        <is>
          <t>A</t>
        </is>
      </c>
      <c r="D54" s="6" t="n">
        <v>0.6804379760373206</v>
      </c>
      <c r="E54" s="6" t="n">
        <v>0.1013607006157455</v>
      </c>
      <c r="F54" s="6" t="n">
        <v>0.2158256138243679</v>
      </c>
      <c r="G54" s="6" t="n">
        <v>53</v>
      </c>
      <c r="H54" s="6" t="n">
        <v>52</v>
      </c>
      <c r="I54" s="6" t="inlineStr">
        <is>
          <t>***园艺场</t>
        </is>
      </c>
      <c r="J54" s="6" t="inlineStr">
        <is>
          <t>A</t>
        </is>
      </c>
      <c r="K54" s="6" t="inlineStr">
        <is>
          <t>否</t>
        </is>
      </c>
      <c r="L54" s="6" t="b">
        <v>0</v>
      </c>
    </row>
    <row r="55">
      <c r="A55" s="6" t="inlineStr">
        <is>
          <t>E44</t>
        </is>
      </c>
      <c r="B55" s="6" t="n">
        <v>0.09512588067931764</v>
      </c>
      <c r="C55" s="6" t="inlineStr">
        <is>
          <t>A</t>
        </is>
      </c>
      <c r="D55" s="6" t="n">
        <v>0.7112511617409831</v>
      </c>
      <c r="E55" s="6" t="n">
        <v>0.08831159066650117</v>
      </c>
      <c r="F55" s="6" t="n">
        <v>0.217530646479689</v>
      </c>
      <c r="G55" s="6" t="n">
        <v>54</v>
      </c>
      <c r="H55" s="6" t="n">
        <v>35</v>
      </c>
      <c r="I55" s="6" t="inlineStr">
        <is>
          <t>***商贸有限公司</t>
        </is>
      </c>
      <c r="J55" s="6" t="inlineStr">
        <is>
          <t>C</t>
        </is>
      </c>
      <c r="K55" s="6" t="inlineStr">
        <is>
          <t>否</t>
        </is>
      </c>
      <c r="L55" s="6" t="b">
        <v>0</v>
      </c>
    </row>
    <row r="56">
      <c r="A56" s="6" t="inlineStr">
        <is>
          <t>E32</t>
        </is>
      </c>
      <c r="B56" s="6" t="n">
        <v>0.09761698402790975</v>
      </c>
      <c r="C56" s="6" t="inlineStr">
        <is>
          <t>A</t>
        </is>
      </c>
      <c r="D56" s="6" t="n">
        <v>0.7178528813933605</v>
      </c>
      <c r="E56" s="6" t="n">
        <v>0.08946503990523746</v>
      </c>
      <c r="F56" s="6" t="n">
        <v>0.2276214515218352</v>
      </c>
      <c r="G56" s="6" t="n">
        <v>55</v>
      </c>
      <c r="H56" s="6" t="n">
        <v>30</v>
      </c>
      <c r="I56" s="6" t="inlineStr">
        <is>
          <t>***建筑劳务有限公司</t>
        </is>
      </c>
      <c r="J56" s="6" t="inlineStr">
        <is>
          <t>B</t>
        </is>
      </c>
      <c r="K56" s="6" t="inlineStr">
        <is>
          <t>否</t>
        </is>
      </c>
      <c r="L56" s="6" t="b">
        <v>0</v>
      </c>
    </row>
    <row r="57">
      <c r="A57" s="6" t="inlineStr">
        <is>
          <t>E63</t>
        </is>
      </c>
      <c r="B57" s="6" t="n">
        <v>0.09779077162593171</v>
      </c>
      <c r="C57" s="6" t="inlineStr">
        <is>
          <t>A</t>
        </is>
      </c>
      <c r="D57" s="6" t="n">
        <v>0.6663113418346351</v>
      </c>
      <c r="E57" s="6" t="n">
        <v>0.1066364028423079</v>
      </c>
      <c r="F57" s="6" t="n">
        <v>0.212932153753531</v>
      </c>
      <c r="G57" s="6" t="n">
        <v>56</v>
      </c>
      <c r="H57" s="6" t="n">
        <v>62</v>
      </c>
      <c r="I57" s="6" t="inlineStr">
        <is>
          <t>***科技有限公司</t>
        </is>
      </c>
      <c r="J57" s="6" t="inlineStr">
        <is>
          <t>B</t>
        </is>
      </c>
      <c r="K57" s="6" t="inlineStr">
        <is>
          <t>否</t>
        </is>
      </c>
      <c r="L57" s="6" t="b">
        <v>0</v>
      </c>
    </row>
    <row r="58">
      <c r="A58" s="6" t="inlineStr">
        <is>
          <t>E26</t>
        </is>
      </c>
      <c r="B58" s="6" t="n">
        <v>0.1003911963733765</v>
      </c>
      <c r="C58" s="6" t="inlineStr">
        <is>
          <t>B</t>
        </is>
      </c>
      <c r="D58" s="6" t="n">
        <v>0.5728710021153892</v>
      </c>
      <c r="E58" s="6" t="n">
        <v>0.1405669648983078</v>
      </c>
      <c r="F58" s="6" t="n">
        <v>0.1885302530252621</v>
      </c>
      <c r="G58" s="6" t="n">
        <v>57</v>
      </c>
      <c r="H58" s="6" t="n">
        <v>99</v>
      </c>
      <c r="I58" s="6" t="inlineStr">
        <is>
          <t>***金属材料有限公司</t>
        </is>
      </c>
      <c r="J58" s="6" t="inlineStr">
        <is>
          <t>A</t>
        </is>
      </c>
      <c r="K58" s="6" t="inlineStr">
        <is>
          <t>否</t>
        </is>
      </c>
      <c r="L58" s="6" t="b">
        <v>0</v>
      </c>
    </row>
    <row r="59">
      <c r="A59" s="6" t="inlineStr">
        <is>
          <t>E38</t>
        </is>
      </c>
      <c r="B59" s="6" t="n">
        <v>0.1007097358462161</v>
      </c>
      <c r="C59" s="6" t="inlineStr">
        <is>
          <t>B</t>
        </is>
      </c>
      <c r="D59" s="6" t="n">
        <v>0.6934252382097655</v>
      </c>
      <c r="E59" s="6" t="n">
        <v>0.09684040597231947</v>
      </c>
      <c r="F59" s="6" t="n">
        <v>0.219038192144573</v>
      </c>
      <c r="G59" s="6" t="n">
        <v>58</v>
      </c>
      <c r="H59" s="6" t="n">
        <v>44</v>
      </c>
      <c r="I59" s="6" t="inlineStr">
        <is>
          <t>***建设工程有限公司</t>
        </is>
      </c>
      <c r="J59" s="6" t="inlineStr">
        <is>
          <t>B</t>
        </is>
      </c>
      <c r="K59" s="6" t="inlineStr">
        <is>
          <t>否</t>
        </is>
      </c>
      <c r="L59" s="6" t="b">
        <v>0</v>
      </c>
    </row>
    <row r="60">
      <c r="A60" s="6" t="inlineStr">
        <is>
          <t>E30</t>
        </is>
      </c>
      <c r="B60" s="6" t="n">
        <v>0.1050518950094422</v>
      </c>
      <c r="C60" s="6" t="inlineStr">
        <is>
          <t>B</t>
        </is>
      </c>
      <c r="D60" s="6" t="n">
        <v>0.7013592290124528</v>
      </c>
      <c r="E60" s="6" t="n">
        <v>0.09399621301507328</v>
      </c>
      <c r="F60" s="6" t="n">
        <v>0.2207505400965196</v>
      </c>
      <c r="G60" s="6" t="n">
        <v>59</v>
      </c>
      <c r="H60" s="6" t="n">
        <v>41</v>
      </c>
      <c r="I60" s="6" t="inlineStr">
        <is>
          <t>***建筑工程有限公司</t>
        </is>
      </c>
      <c r="J60" s="6" t="inlineStr">
        <is>
          <t>B</t>
        </is>
      </c>
      <c r="K60" s="6" t="inlineStr">
        <is>
          <t>否</t>
        </is>
      </c>
      <c r="L60" s="6" t="b">
        <v>0</v>
      </c>
    </row>
    <row r="61">
      <c r="A61" s="6" t="inlineStr">
        <is>
          <t>E97</t>
        </is>
      </c>
      <c r="B61" s="6" t="n">
        <v>0.1053340294236526</v>
      </c>
      <c r="C61" s="6" t="inlineStr">
        <is>
          <t>B</t>
        </is>
      </c>
      <c r="D61" s="6" t="n">
        <v>0.6628382214269034</v>
      </c>
      <c r="E61" s="6" t="n">
        <v>0.1114590949396826</v>
      </c>
      <c r="F61" s="6" t="n">
        <v>0.2191213623452119</v>
      </c>
      <c r="G61" s="6" t="n">
        <v>60</v>
      </c>
      <c r="H61" s="6" t="n">
        <v>66</v>
      </c>
      <c r="I61" s="6" t="inlineStr">
        <is>
          <t>***美工装饰部</t>
        </is>
      </c>
      <c r="J61" s="6" t="inlineStr">
        <is>
          <t>B</t>
        </is>
      </c>
      <c r="K61" s="6" t="inlineStr">
        <is>
          <t>否</t>
        </is>
      </c>
      <c r="L61" s="6" t="b">
        <v>0</v>
      </c>
    </row>
    <row r="62">
      <c r="A62" s="6" t="inlineStr">
        <is>
          <t>E73</t>
        </is>
      </c>
      <c r="B62" s="6" t="n">
        <v>0.1058469042275447</v>
      </c>
      <c r="C62" s="6" t="inlineStr">
        <is>
          <t>B</t>
        </is>
      </c>
      <c r="D62" s="6" t="n">
        <v>0.6826757176376739</v>
      </c>
      <c r="E62" s="6" t="n">
        <v>0.1029005598245196</v>
      </c>
      <c r="F62" s="6" t="n">
        <v>0.2213751591922369</v>
      </c>
      <c r="G62" s="6" t="n">
        <v>61</v>
      </c>
      <c r="H62" s="6" t="n">
        <v>50</v>
      </c>
      <c r="I62" s="6" t="inlineStr">
        <is>
          <t>***商贸有限责任公司</t>
        </is>
      </c>
      <c r="J62" s="6" t="inlineStr">
        <is>
          <t>C</t>
        </is>
      </c>
      <c r="K62" s="6" t="inlineStr">
        <is>
          <t>否</t>
        </is>
      </c>
      <c r="L62" s="6" t="b">
        <v>0</v>
      </c>
    </row>
    <row r="63">
      <c r="A63" s="6" t="inlineStr">
        <is>
          <t>E53</t>
        </is>
      </c>
      <c r="B63" s="6" t="n">
        <v>0.1068120910447054</v>
      </c>
      <c r="C63" s="6" t="inlineStr">
        <is>
          <t>B</t>
        </is>
      </c>
      <c r="D63" s="6" t="n">
        <v>0.6984389405003606</v>
      </c>
      <c r="E63" s="6" t="n">
        <v>0.09184123279116767</v>
      </c>
      <c r="F63" s="6" t="n">
        <v>0.2127114602639432</v>
      </c>
      <c r="G63" s="6" t="n">
        <v>62</v>
      </c>
      <c r="H63" s="6" t="n">
        <v>43</v>
      </c>
      <c r="I63" s="6" t="inlineStr">
        <is>
          <t>***文化传媒有限公司</t>
        </is>
      </c>
      <c r="J63" s="6" t="inlineStr">
        <is>
          <t>C</t>
        </is>
      </c>
      <c r="K63" s="6" t="inlineStr">
        <is>
          <t>否</t>
        </is>
      </c>
      <c r="L63" s="6" t="b">
        <v>0</v>
      </c>
    </row>
    <row r="64">
      <c r="A64" s="6" t="inlineStr">
        <is>
          <t>E43</t>
        </is>
      </c>
      <c r="B64" s="6" t="n">
        <v>0.1068257653264741</v>
      </c>
      <c r="C64" s="6" t="inlineStr">
        <is>
          <t>B</t>
        </is>
      </c>
      <c r="D64" s="6" t="n">
        <v>0.6559317689996744</v>
      </c>
      <c r="E64" s="6" t="n">
        <v>0.1095551560801931</v>
      </c>
      <c r="F64" s="6" t="n">
        <v>0.2088559792974565</v>
      </c>
      <c r="G64" s="6" t="n">
        <v>63</v>
      </c>
      <c r="H64" s="6" t="n">
        <v>69</v>
      </c>
      <c r="I64" s="6" t="inlineStr">
        <is>
          <t>***建设工程有限公司</t>
        </is>
      </c>
      <c r="J64" s="6" t="inlineStr">
        <is>
          <t>B</t>
        </is>
      </c>
      <c r="K64" s="6" t="inlineStr">
        <is>
          <t>否</t>
        </is>
      </c>
      <c r="L64" s="6" t="b">
        <v>0</v>
      </c>
    </row>
    <row r="65">
      <c r="A65" s="6" t="inlineStr">
        <is>
          <t>E65</t>
        </is>
      </c>
      <c r="B65" s="6" t="n">
        <v>0.1073194903399995</v>
      </c>
      <c r="C65" s="6" t="inlineStr">
        <is>
          <t>B</t>
        </is>
      </c>
      <c r="D65" s="6" t="n">
        <v>0.6853511612763394</v>
      </c>
      <c r="E65" s="6" t="n">
        <v>0.09938735288542734</v>
      </c>
      <c r="F65" s="6" t="n">
        <v>0.2164801815017375</v>
      </c>
      <c r="G65" s="6" t="n">
        <v>64</v>
      </c>
      <c r="H65" s="6" t="n">
        <v>46</v>
      </c>
      <c r="I65" s="6" t="inlineStr">
        <is>
          <t>***商贸有限公司</t>
        </is>
      </c>
      <c r="J65" s="6" t="inlineStr">
        <is>
          <t>B</t>
        </is>
      </c>
      <c r="K65" s="6" t="inlineStr">
        <is>
          <t>否</t>
        </is>
      </c>
      <c r="L65" s="6" t="b">
        <v>0</v>
      </c>
    </row>
    <row r="66">
      <c r="A66" s="6" t="inlineStr">
        <is>
          <t>E78</t>
        </is>
      </c>
      <c r="B66" s="6" t="n">
        <v>0.1081206232300206</v>
      </c>
      <c r="C66" s="6" t="inlineStr">
        <is>
          <t>B</t>
        </is>
      </c>
      <c r="D66" s="6" t="n">
        <v>0.6583933460671925</v>
      </c>
      <c r="E66" s="6" t="n">
        <v>0.1130704111469358</v>
      </c>
      <c r="F66" s="6" t="n">
        <v>0.2179255160260057</v>
      </c>
      <c r="G66" s="6" t="n">
        <v>65</v>
      </c>
      <c r="H66" s="6" t="n">
        <v>68</v>
      </c>
      <c r="I66" s="6" t="inlineStr">
        <is>
          <t>个体经营E78</t>
        </is>
      </c>
      <c r="J66" s="6" t="inlineStr">
        <is>
          <t>C</t>
        </is>
      </c>
      <c r="K66" s="6" t="inlineStr">
        <is>
          <t>否</t>
        </is>
      </c>
      <c r="L66" s="6" t="b">
        <v>0</v>
      </c>
    </row>
    <row r="67">
      <c r="A67" s="6" t="inlineStr">
        <is>
          <t>E71</t>
        </is>
      </c>
      <c r="B67" s="6" t="n">
        <v>0.1092858391197591</v>
      </c>
      <c r="C67" s="6" t="inlineStr">
        <is>
          <t>B</t>
        </is>
      </c>
      <c r="D67" s="6" t="n">
        <v>0.6436293389407526</v>
      </c>
      <c r="E67" s="6" t="n">
        <v>0.1102365138247172</v>
      </c>
      <c r="F67" s="6" t="n">
        <v>0.1990945447339731</v>
      </c>
      <c r="G67" s="6" t="n">
        <v>66</v>
      </c>
      <c r="H67" s="6" t="n">
        <v>76</v>
      </c>
      <c r="I67" s="6" t="inlineStr">
        <is>
          <t>***农业科技有限公司</t>
        </is>
      </c>
      <c r="J67" s="6" t="inlineStr">
        <is>
          <t>B</t>
        </is>
      </c>
      <c r="K67" s="6" t="inlineStr">
        <is>
          <t>否</t>
        </is>
      </c>
      <c r="L67" s="6" t="b">
        <v>0</v>
      </c>
    </row>
    <row r="68">
      <c r="A68" s="6" t="inlineStr">
        <is>
          <t>E58</t>
        </is>
      </c>
      <c r="B68" s="6" t="n">
        <v>0.1128561568011405</v>
      </c>
      <c r="C68" s="6" t="inlineStr">
        <is>
          <t>B</t>
        </is>
      </c>
      <c r="D68" s="6" t="n">
        <v>0.7131233127159011</v>
      </c>
      <c r="E68" s="6" t="n">
        <v>0.08771791473305771</v>
      </c>
      <c r="F68" s="6" t="n">
        <v>0.2180507957309932</v>
      </c>
      <c r="G68" s="6" t="n">
        <v>67</v>
      </c>
      <c r="H68" s="6" t="n">
        <v>33</v>
      </c>
      <c r="I68" s="6" t="inlineStr">
        <is>
          <t>***油气工程建设有限责任公司</t>
        </is>
      </c>
      <c r="J68" s="6" t="inlineStr">
        <is>
          <t>B</t>
        </is>
      </c>
      <c r="K68" s="6" t="inlineStr">
        <is>
          <t>否</t>
        </is>
      </c>
      <c r="L68" s="6" t="b">
        <v>0</v>
      </c>
    </row>
    <row r="69">
      <c r="A69" s="6" t="inlineStr">
        <is>
          <t>E28</t>
        </is>
      </c>
      <c r="B69" s="6" t="n">
        <v>0.1133402231334726</v>
      </c>
      <c r="C69" s="6" t="inlineStr">
        <is>
          <t>B</t>
        </is>
      </c>
      <c r="D69" s="6" t="n">
        <v>0.6840755784766031</v>
      </c>
      <c r="E69" s="6" t="n">
        <v>0.1010088426442794</v>
      </c>
      <c r="F69" s="6" t="n">
        <v>0.2187158628951396</v>
      </c>
      <c r="G69" s="6" t="n">
        <v>68</v>
      </c>
      <c r="H69" s="6" t="n">
        <v>48</v>
      </c>
      <c r="I69" s="6" t="inlineStr">
        <is>
          <t>***景观工程有限公司</t>
        </is>
      </c>
      <c r="J69" s="6" t="inlineStr">
        <is>
          <t>B</t>
        </is>
      </c>
      <c r="K69" s="6" t="inlineStr">
        <is>
          <t>否</t>
        </is>
      </c>
      <c r="L69" s="6" t="b">
        <v>0</v>
      </c>
    </row>
    <row r="70">
      <c r="A70" s="6" t="inlineStr">
        <is>
          <t>E50</t>
        </is>
      </c>
      <c r="B70" s="6" t="n">
        <v>0.1157118857690842</v>
      </c>
      <c r="C70" s="6" t="inlineStr">
        <is>
          <t>B</t>
        </is>
      </c>
      <c r="D70" s="6" t="n">
        <v>0.6636393451950453</v>
      </c>
      <c r="E70" s="6" t="n">
        <v>0.106691604979607</v>
      </c>
      <c r="F70" s="6" t="n">
        <v>0.2105024647057259</v>
      </c>
      <c r="G70" s="6" t="n">
        <v>69</v>
      </c>
      <c r="H70" s="6" t="n">
        <v>65</v>
      </c>
      <c r="I70" s="6" t="inlineStr">
        <is>
          <t>***建筑劳务有限公司</t>
        </is>
      </c>
      <c r="J70" s="6" t="inlineStr">
        <is>
          <t>C</t>
        </is>
      </c>
      <c r="K70" s="6" t="inlineStr">
        <is>
          <t>否</t>
        </is>
      </c>
      <c r="L70" s="6" t="b">
        <v>0</v>
      </c>
    </row>
    <row r="71">
      <c r="A71" s="6" t="inlineStr">
        <is>
          <t>E39</t>
        </is>
      </c>
      <c r="B71" s="6" t="n">
        <v>0.1200590304308597</v>
      </c>
      <c r="C71" s="6" t="inlineStr">
        <is>
          <t>B</t>
        </is>
      </c>
      <c r="D71" s="6" t="n">
        <v>0.6792739771422808</v>
      </c>
      <c r="E71" s="6" t="n">
        <v>0.104444987526755</v>
      </c>
      <c r="F71" s="6" t="n">
        <v>0.2212067528469564</v>
      </c>
      <c r="G71" s="6" t="n">
        <v>70</v>
      </c>
      <c r="H71" s="6" t="n">
        <v>55</v>
      </c>
      <c r="I71" s="6" t="inlineStr">
        <is>
          <t>***建筑劳务有限公司</t>
        </is>
      </c>
      <c r="J71" s="6" t="inlineStr">
        <is>
          <t>C</t>
        </is>
      </c>
      <c r="K71" s="6" t="inlineStr">
        <is>
          <t>否</t>
        </is>
      </c>
      <c r="L71" s="6" t="b">
        <v>0</v>
      </c>
    </row>
    <row r="72">
      <c r="A72" s="6" t="inlineStr">
        <is>
          <t>E76</t>
        </is>
      </c>
      <c r="B72" s="6" t="n">
        <v>0.1214385332677358</v>
      </c>
      <c r="C72" s="6" t="inlineStr">
        <is>
          <t>B</t>
        </is>
      </c>
      <c r="D72" s="6" t="n">
        <v>0.6799369552729094</v>
      </c>
      <c r="E72" s="6" t="n">
        <v>0.1003331520654617</v>
      </c>
      <c r="F72" s="6" t="n">
        <v>0.2131461880783314</v>
      </c>
      <c r="G72" s="6" t="n">
        <v>71</v>
      </c>
      <c r="H72" s="6" t="n">
        <v>53</v>
      </c>
      <c r="I72" s="6" t="inlineStr">
        <is>
          <t>***信息科技有限公司</t>
        </is>
      </c>
      <c r="J72" s="6" t="inlineStr">
        <is>
          <t>B</t>
        </is>
      </c>
      <c r="K72" s="6" t="inlineStr">
        <is>
          <t>否</t>
        </is>
      </c>
      <c r="L72" s="6" t="b">
        <v>0</v>
      </c>
    </row>
    <row r="73">
      <c r="A73" s="6" t="inlineStr">
        <is>
          <t>E88</t>
        </is>
      </c>
      <c r="B73" s="6" t="n">
        <v>0.1237002419301246</v>
      </c>
      <c r="C73" s="6" t="inlineStr">
        <is>
          <t>B</t>
        </is>
      </c>
      <c r="D73" s="6" t="n">
        <v>0.6759539447559025</v>
      </c>
      <c r="E73" s="6" t="n">
        <v>0.1028183829602943</v>
      </c>
      <c r="F73" s="6" t="n">
        <v>0.2144772029490705</v>
      </c>
      <c r="G73" s="6" t="n">
        <v>72</v>
      </c>
      <c r="H73" s="6" t="n">
        <v>57</v>
      </c>
      <c r="I73" s="6" t="inlineStr">
        <is>
          <t>***贸易有限公司</t>
        </is>
      </c>
      <c r="J73" s="6" t="inlineStr">
        <is>
          <t>A</t>
        </is>
      </c>
      <c r="K73" s="6" t="inlineStr">
        <is>
          <t>否</t>
        </is>
      </c>
      <c r="L73" s="6" t="b">
        <v>0</v>
      </c>
    </row>
    <row r="74">
      <c r="A74" s="6" t="inlineStr">
        <is>
          <t>E57</t>
        </is>
      </c>
      <c r="B74" s="6" t="n">
        <v>0.1248033223699274</v>
      </c>
      <c r="C74" s="6" t="inlineStr">
        <is>
          <t>B</t>
        </is>
      </c>
      <c r="D74" s="6" t="n">
        <v>0.6707355116068834</v>
      </c>
      <c r="E74" s="6" t="n">
        <v>0.09969966253945592</v>
      </c>
      <c r="F74" s="6" t="n">
        <v>0.2030954035972303</v>
      </c>
      <c r="G74" s="6" t="n">
        <v>73</v>
      </c>
      <c r="H74" s="6" t="n">
        <v>60</v>
      </c>
      <c r="I74" s="6" t="inlineStr">
        <is>
          <t>***机械设备有限公司</t>
        </is>
      </c>
      <c r="J74" s="6" t="inlineStr">
        <is>
          <t>B</t>
        </is>
      </c>
      <c r="K74" s="6" t="inlineStr">
        <is>
          <t>否</t>
        </is>
      </c>
      <c r="L74" s="6" t="b">
        <v>0</v>
      </c>
    </row>
    <row r="75">
      <c r="A75" s="6" t="inlineStr">
        <is>
          <t>E111</t>
        </is>
      </c>
      <c r="B75" s="6" t="n">
        <v>0.1325963891316189</v>
      </c>
      <c r="C75" s="6" t="inlineStr">
        <is>
          <t>B</t>
        </is>
      </c>
      <c r="D75" s="6" t="n">
        <v>0.5535365961853309</v>
      </c>
      <c r="E75" s="6" t="n">
        <v>0.1454538384103871</v>
      </c>
      <c r="F75" s="6" t="n">
        <v>0.1803373399204718</v>
      </c>
      <c r="G75" s="6" t="n">
        <v>74</v>
      </c>
      <c r="H75" s="6" t="n">
        <v>104</v>
      </c>
      <c r="I75" s="6" t="inlineStr">
        <is>
          <t>***科技有限公司</t>
        </is>
      </c>
      <c r="J75" s="6" t="inlineStr">
        <is>
          <t>D</t>
        </is>
      </c>
      <c r="K75" s="6" t="inlineStr">
        <is>
          <t>是</t>
        </is>
      </c>
      <c r="L75" s="6" t="b">
        <v>1</v>
      </c>
    </row>
    <row r="76">
      <c r="A76" s="6" t="inlineStr">
        <is>
          <t>E84</t>
        </is>
      </c>
      <c r="B76" s="6" t="n">
        <v>0.1429601592770065</v>
      </c>
      <c r="C76" s="6" t="inlineStr">
        <is>
          <t>B</t>
        </is>
      </c>
      <c r="D76" s="6" t="n">
        <v>0.6534986165615283</v>
      </c>
      <c r="E76" s="6" t="n">
        <v>0.1096210828570741</v>
      </c>
      <c r="F76" s="6" t="n">
        <v>0.2067444155119664</v>
      </c>
      <c r="G76" s="6" t="n">
        <v>75</v>
      </c>
      <c r="H76" s="6" t="n">
        <v>71</v>
      </c>
      <c r="I76" s="6" t="inlineStr">
        <is>
          <t>***建材有限公司</t>
        </is>
      </c>
      <c r="J76" s="6" t="inlineStr">
        <is>
          <t>A</t>
        </is>
      </c>
      <c r="K76" s="6" t="inlineStr">
        <is>
          <t>否</t>
        </is>
      </c>
      <c r="L76" s="6" t="b">
        <v>0</v>
      </c>
    </row>
    <row r="77">
      <c r="A77" s="6" t="inlineStr">
        <is>
          <t>E67</t>
        </is>
      </c>
      <c r="B77" s="6" t="n">
        <v>0.1478236064432818</v>
      </c>
      <c r="C77" s="6" t="inlineStr">
        <is>
          <t>B</t>
        </is>
      </c>
      <c r="D77" s="6" t="n">
        <v>0.679605801020562</v>
      </c>
      <c r="E77" s="6" t="n">
        <v>0.09993940388291073</v>
      </c>
      <c r="F77" s="6" t="n">
        <v>0.2119869799319366</v>
      </c>
      <c r="G77" s="6" t="n">
        <v>76</v>
      </c>
      <c r="H77" s="6" t="n">
        <v>54</v>
      </c>
      <c r="I77" s="6" t="inlineStr">
        <is>
          <t>***信息技术有限公司</t>
        </is>
      </c>
      <c r="J77" s="6" t="inlineStr">
        <is>
          <t>B</t>
        </is>
      </c>
      <c r="K77" s="6" t="inlineStr">
        <is>
          <t>否</t>
        </is>
      </c>
      <c r="L77" s="6" t="b">
        <v>0</v>
      </c>
    </row>
    <row r="78">
      <c r="A78" s="6" t="inlineStr">
        <is>
          <t>E62</t>
        </is>
      </c>
      <c r="B78" s="6" t="n">
        <v>0.1484542484848348</v>
      </c>
      <c r="C78" s="6" t="inlineStr">
        <is>
          <t>B</t>
        </is>
      </c>
      <c r="D78" s="6" t="n">
        <v>0.6645283933426314</v>
      </c>
      <c r="E78" s="6" t="n">
        <v>0.1073385473987715</v>
      </c>
      <c r="F78" s="6" t="n">
        <v>0.2126245888806005</v>
      </c>
      <c r="G78" s="6" t="n">
        <v>77</v>
      </c>
      <c r="H78" s="6" t="n">
        <v>63</v>
      </c>
      <c r="I78" s="6" t="inlineStr">
        <is>
          <t>***工程造价咨询有限公司***分公司</t>
        </is>
      </c>
      <c r="J78" s="6" t="inlineStr">
        <is>
          <t>B</t>
        </is>
      </c>
      <c r="K78" s="6" t="inlineStr">
        <is>
          <t>否</t>
        </is>
      </c>
      <c r="L78" s="6" t="b">
        <v>0</v>
      </c>
    </row>
    <row r="79">
      <c r="A79" s="6" t="inlineStr">
        <is>
          <t>E60</t>
        </is>
      </c>
      <c r="B79" s="6" t="n">
        <v>0.1543930665552596</v>
      </c>
      <c r="C79" s="6" t="inlineStr">
        <is>
          <t>B</t>
        </is>
      </c>
      <c r="D79" s="6" t="n">
        <v>0.6677678310603311</v>
      </c>
      <c r="E79" s="6" t="n">
        <v>0.1035397009036463</v>
      </c>
      <c r="F79" s="6" t="n">
        <v>0.2081089309374455</v>
      </c>
      <c r="G79" s="6" t="n">
        <v>78</v>
      </c>
      <c r="H79" s="6" t="n">
        <v>61</v>
      </c>
      <c r="I79" s="6" t="inlineStr">
        <is>
          <t>***机械租赁有限公司</t>
        </is>
      </c>
      <c r="J79" s="6" t="inlineStr">
        <is>
          <t>B</t>
        </is>
      </c>
      <c r="K79" s="6" t="inlineStr">
        <is>
          <t>否</t>
        </is>
      </c>
      <c r="L79" s="6" t="b">
        <v>0</v>
      </c>
    </row>
    <row r="80">
      <c r="A80" s="6" t="inlineStr">
        <is>
          <t>E105</t>
        </is>
      </c>
      <c r="B80" s="6" t="n">
        <v>0.1610290603141188</v>
      </c>
      <c r="C80" s="6" t="inlineStr">
        <is>
          <t>B</t>
        </is>
      </c>
      <c r="D80" s="6" t="n">
        <v>0.5927204241659617</v>
      </c>
      <c r="E80" s="6" t="n">
        <v>0.1374396255827426</v>
      </c>
      <c r="F80" s="6" t="n">
        <v>0.2000180662283184</v>
      </c>
      <c r="G80" s="6" t="n">
        <v>79</v>
      </c>
      <c r="H80" s="6" t="n">
        <v>91</v>
      </c>
      <c r="I80" s="6" t="inlineStr">
        <is>
          <t>***建材经营部</t>
        </is>
      </c>
      <c r="J80" s="6" t="inlineStr">
        <is>
          <t>C</t>
        </is>
      </c>
      <c r="K80" s="6" t="inlineStr">
        <is>
          <t>否</t>
        </is>
      </c>
      <c r="L80" s="6" t="b">
        <v>0</v>
      </c>
    </row>
    <row r="81">
      <c r="A81" s="6" t="inlineStr">
        <is>
          <t>E70</t>
        </is>
      </c>
      <c r="B81" s="6" t="n">
        <v>0.1630239610145202</v>
      </c>
      <c r="C81" s="6" t="inlineStr">
        <is>
          <t>B</t>
        </is>
      </c>
      <c r="D81" s="6" t="n">
        <v>0.6807194033982533</v>
      </c>
      <c r="E81" s="6" t="n">
        <v>0.09868730427920515</v>
      </c>
      <c r="F81" s="6" t="n">
        <v>0.210405403920355</v>
      </c>
      <c r="G81" s="6" t="n">
        <v>80</v>
      </c>
      <c r="H81" s="6" t="n">
        <v>51</v>
      </c>
      <c r="I81" s="6" t="inlineStr">
        <is>
          <t>***科技有限公司</t>
        </is>
      </c>
      <c r="J81" s="6" t="inlineStr">
        <is>
          <t>B</t>
        </is>
      </c>
      <c r="K81" s="6" t="inlineStr">
        <is>
          <t>否</t>
        </is>
      </c>
      <c r="L81" s="6" t="b">
        <v>0</v>
      </c>
    </row>
    <row r="82">
      <c r="A82" s="6" t="inlineStr">
        <is>
          <t>E66</t>
        </is>
      </c>
      <c r="B82" s="6" t="n">
        <v>0.164641687049838</v>
      </c>
      <c r="C82" s="6" t="inlineStr">
        <is>
          <t>B</t>
        </is>
      </c>
      <c r="D82" s="6" t="n">
        <v>0.5698032189073957</v>
      </c>
      <c r="E82" s="6" t="n">
        <v>0.1409173070995913</v>
      </c>
      <c r="F82" s="6" t="n">
        <v>0.1866474569641764</v>
      </c>
      <c r="G82" s="6" t="n">
        <v>81</v>
      </c>
      <c r="H82" s="6" t="n">
        <v>100</v>
      </c>
      <c r="I82" s="6" t="inlineStr">
        <is>
          <t>***快递有限公司</t>
        </is>
      </c>
      <c r="J82" s="6" t="inlineStr">
        <is>
          <t>B</t>
        </is>
      </c>
      <c r="K82" s="6" t="inlineStr">
        <is>
          <t>否</t>
        </is>
      </c>
      <c r="L82" s="6" t="b">
        <v>0</v>
      </c>
    </row>
    <row r="83">
      <c r="A83" s="6" t="inlineStr">
        <is>
          <t>E87</t>
        </is>
      </c>
      <c r="B83" s="6" t="n">
        <v>0.1726085885283659</v>
      </c>
      <c r="C83" s="6" t="inlineStr">
        <is>
          <t>B</t>
        </is>
      </c>
      <c r="D83" s="6" t="n">
        <v>0.6496547901139514</v>
      </c>
      <c r="E83" s="6" t="n">
        <v>0.1126404365118356</v>
      </c>
      <c r="F83" s="6" t="n">
        <v>0.2088722696229862</v>
      </c>
      <c r="G83" s="6" t="n">
        <v>82</v>
      </c>
      <c r="H83" s="6" t="n">
        <v>74</v>
      </c>
      <c r="I83" s="6" t="inlineStr">
        <is>
          <t>***实业有限责任公司</t>
        </is>
      </c>
      <c r="J83" s="6" t="inlineStr">
        <is>
          <t>C</t>
        </is>
      </c>
      <c r="K83" s="6" t="inlineStr">
        <is>
          <t>是</t>
        </is>
      </c>
      <c r="L83" s="6" t="b">
        <v>0</v>
      </c>
    </row>
    <row r="84">
      <c r="A84" s="6" t="inlineStr">
        <is>
          <t>E82</t>
        </is>
      </c>
      <c r="B84" s="6" t="n">
        <v>0.1729514496973683</v>
      </c>
      <c r="C84" s="6" t="inlineStr">
        <is>
          <t>B</t>
        </is>
      </c>
      <c r="D84" s="6" t="n">
        <v>0.6380989512464567</v>
      </c>
      <c r="E84" s="6" t="n">
        <v>0.1161934152299443</v>
      </c>
      <c r="F84" s="6" t="n">
        <v>0.2048706315036496</v>
      </c>
      <c r="G84" s="6" t="n">
        <v>83</v>
      </c>
      <c r="H84" s="6" t="n">
        <v>79</v>
      </c>
      <c r="I84" s="6" t="inlineStr">
        <is>
          <t>***商贸有限公司</t>
        </is>
      </c>
      <c r="J84" s="6" t="inlineStr">
        <is>
          <t>D</t>
        </is>
      </c>
      <c r="K84" s="6" t="inlineStr">
        <is>
          <t>是</t>
        </is>
      </c>
      <c r="L84" s="6" t="b">
        <v>1</v>
      </c>
    </row>
    <row r="85">
      <c r="A85" s="6" t="inlineStr">
        <is>
          <t>E106</t>
        </is>
      </c>
      <c r="B85" s="6" t="n">
        <v>0.1735738724474291</v>
      </c>
      <c r="C85" s="6" t="inlineStr">
        <is>
          <t>B</t>
        </is>
      </c>
      <c r="D85" s="6" t="n">
        <v>0.6395628748170353</v>
      </c>
      <c r="E85" s="6" t="n">
        <v>0.116437118291688</v>
      </c>
      <c r="F85" s="6" t="n">
        <v>0.206607069325174</v>
      </c>
      <c r="G85" s="6" t="n">
        <v>84</v>
      </c>
      <c r="H85" s="6" t="n">
        <v>78</v>
      </c>
      <c r="I85" s="6" t="inlineStr">
        <is>
          <t>***财务管理有限公司</t>
        </is>
      </c>
      <c r="J85" s="6" t="inlineStr">
        <is>
          <t>B</t>
        </is>
      </c>
      <c r="K85" s="6" t="inlineStr">
        <is>
          <t>否</t>
        </is>
      </c>
      <c r="L85" s="6" t="b">
        <v>0</v>
      </c>
    </row>
    <row r="86">
      <c r="A86" s="6" t="inlineStr">
        <is>
          <t>E85</t>
        </is>
      </c>
      <c r="B86" s="6" t="n">
        <v>0.174936682161572</v>
      </c>
      <c r="C86" s="6" t="inlineStr">
        <is>
          <t>B</t>
        </is>
      </c>
      <c r="D86" s="6" t="n">
        <v>0.6500637609846157</v>
      </c>
      <c r="E86" s="6" t="n">
        <v>0.1123077973035428</v>
      </c>
      <c r="F86" s="6" t="n">
        <v>0.2086300901800264</v>
      </c>
      <c r="G86" s="6" t="n">
        <v>85</v>
      </c>
      <c r="H86" s="6" t="n">
        <v>73</v>
      </c>
      <c r="I86" s="6" t="inlineStr">
        <is>
          <t>***安防科技有限公司</t>
        </is>
      </c>
      <c r="J86" s="6" t="inlineStr">
        <is>
          <t>B</t>
        </is>
      </c>
      <c r="K86" s="6" t="inlineStr">
        <is>
          <t>否</t>
        </is>
      </c>
      <c r="L86" s="6" t="b">
        <v>0</v>
      </c>
    </row>
    <row r="87">
      <c r="A87" s="6" t="inlineStr">
        <is>
          <t>E93</t>
        </is>
      </c>
      <c r="B87" s="6" t="n">
        <v>0.1769775706677708</v>
      </c>
      <c r="C87" s="6" t="inlineStr">
        <is>
          <t>B</t>
        </is>
      </c>
      <c r="D87" s="6" t="n">
        <v>0.6530780546757113</v>
      </c>
      <c r="E87" s="6" t="n">
        <v>0.110003815263096</v>
      </c>
      <c r="F87" s="6" t="n">
        <v>0.2070813871742097</v>
      </c>
      <c r="G87" s="6" t="n">
        <v>86</v>
      </c>
      <c r="H87" s="6" t="n">
        <v>72</v>
      </c>
      <c r="I87" s="6" t="inlineStr">
        <is>
          <t>***电脑设计事务所</t>
        </is>
      </c>
      <c r="J87" s="6" t="inlineStr">
        <is>
          <t>B</t>
        </is>
      </c>
      <c r="K87" s="6" t="inlineStr">
        <is>
          <t>否</t>
        </is>
      </c>
      <c r="L87" s="6" t="b">
        <v>0</v>
      </c>
    </row>
    <row r="88">
      <c r="A88" s="6" t="inlineStr">
        <is>
          <t>E52</t>
        </is>
      </c>
      <c r="B88" s="6" t="n">
        <v>0.1771396348546799</v>
      </c>
      <c r="C88" s="6" t="inlineStr">
        <is>
          <t>B</t>
        </is>
      </c>
      <c r="D88" s="6" t="n">
        <v>0.673278766974721</v>
      </c>
      <c r="E88" s="6" t="n">
        <v>0.1001179487814422</v>
      </c>
      <c r="F88" s="6" t="n">
        <v>0.2063143814788196</v>
      </c>
      <c r="G88" s="6" t="n">
        <v>87</v>
      </c>
      <c r="H88" s="6" t="n">
        <v>59</v>
      </c>
      <c r="I88" s="6" t="inlineStr">
        <is>
          <t>***商贸有限公司</t>
        </is>
      </c>
      <c r="J88" s="6" t="inlineStr">
        <is>
          <t>D</t>
        </is>
      </c>
      <c r="K88" s="6" t="inlineStr">
        <is>
          <t>是</t>
        </is>
      </c>
      <c r="L88" s="6" t="b">
        <v>1</v>
      </c>
    </row>
    <row r="89">
      <c r="A89" s="6" t="inlineStr">
        <is>
          <t>E98</t>
        </is>
      </c>
      <c r="B89" s="6" t="n">
        <v>0.1955517111404142</v>
      </c>
      <c r="C89" s="6" t="inlineStr">
        <is>
          <t>B</t>
        </is>
      </c>
      <c r="D89" s="6" t="n">
        <v>0.6144097272020212</v>
      </c>
      <c r="E89" s="6" t="n">
        <v>0.1225781880219557</v>
      </c>
      <c r="F89" s="6" t="n">
        <v>0.1953193230653578</v>
      </c>
      <c r="G89" s="6" t="n">
        <v>88</v>
      </c>
      <c r="H89" s="6" t="n">
        <v>86</v>
      </c>
      <c r="I89" s="6" t="inlineStr">
        <is>
          <t>***文化传播有限公司</t>
        </is>
      </c>
      <c r="J89" s="6" t="inlineStr">
        <is>
          <t>B</t>
        </is>
      </c>
      <c r="K89" s="6" t="inlineStr">
        <is>
          <t>否</t>
        </is>
      </c>
      <c r="L89" s="6" t="b">
        <v>0</v>
      </c>
    </row>
    <row r="90">
      <c r="A90" s="6" t="inlineStr">
        <is>
          <t>E94</t>
        </is>
      </c>
      <c r="B90" s="6" t="n">
        <v>0.2026080673659417</v>
      </c>
      <c r="C90" s="6" t="inlineStr">
        <is>
          <t>C</t>
        </is>
      </c>
      <c r="D90" s="6" t="n">
        <v>0.5824900705367672</v>
      </c>
      <c r="E90" s="6" t="n">
        <v>0.1380510440594944</v>
      </c>
      <c r="F90" s="6" t="n">
        <v>0.1926022753405454</v>
      </c>
      <c r="G90" s="6" t="n">
        <v>89</v>
      </c>
      <c r="H90" s="6" t="n">
        <v>94</v>
      </c>
      <c r="I90" s="6" t="inlineStr">
        <is>
          <t>***汽车美容有限公司</t>
        </is>
      </c>
      <c r="J90" s="6" t="inlineStr">
        <is>
          <t>C</t>
        </is>
      </c>
      <c r="K90" s="6" t="inlineStr">
        <is>
          <t>否</t>
        </is>
      </c>
      <c r="L90" s="6" t="b">
        <v>0</v>
      </c>
    </row>
    <row r="91">
      <c r="A91" s="6" t="inlineStr">
        <is>
          <t>E118</t>
        </is>
      </c>
      <c r="B91" s="6" t="n">
        <v>0.2157383656066151</v>
      </c>
      <c r="C91" s="6" t="inlineStr">
        <is>
          <t>C</t>
        </is>
      </c>
      <c r="D91" s="6" t="n">
        <v>0.5663014583065273</v>
      </c>
      <c r="E91" s="6" t="n">
        <v>0.145165183872763</v>
      </c>
      <c r="F91" s="6" t="n">
        <v>0.1895493007688804</v>
      </c>
      <c r="G91" s="6" t="n">
        <v>90</v>
      </c>
      <c r="H91" s="6" t="n">
        <v>101</v>
      </c>
      <c r="I91" s="6" t="inlineStr">
        <is>
          <t>***体育用品有限公司</t>
        </is>
      </c>
      <c r="J91" s="6" t="inlineStr">
        <is>
          <t>D</t>
        </is>
      </c>
      <c r="K91" s="6" t="inlineStr">
        <is>
          <t>是</t>
        </is>
      </c>
      <c r="L91" s="6" t="b">
        <v>1</v>
      </c>
    </row>
    <row r="92">
      <c r="A92" s="6" t="inlineStr">
        <is>
          <t>E90</t>
        </is>
      </c>
      <c r="B92" s="6" t="n">
        <v>0.2178251660076469</v>
      </c>
      <c r="C92" s="6" t="inlineStr">
        <is>
          <t>C</t>
        </is>
      </c>
      <c r="D92" s="6" t="n">
        <v>0.6550954409065499</v>
      </c>
      <c r="E92" s="6" t="n">
        <v>0.1076976055595107</v>
      </c>
      <c r="F92" s="6" t="n">
        <v>0.2045557489411777</v>
      </c>
      <c r="G92" s="6" t="n">
        <v>91</v>
      </c>
      <c r="H92" s="6" t="n">
        <v>70</v>
      </c>
      <c r="I92" s="6" t="inlineStr">
        <is>
          <t>***文化传媒有限责任公司</t>
        </is>
      </c>
      <c r="J92" s="6" t="inlineStr">
        <is>
          <t>C</t>
        </is>
      </c>
      <c r="K92" s="6" t="inlineStr">
        <is>
          <t>否</t>
        </is>
      </c>
      <c r="L92" s="6" t="b">
        <v>0</v>
      </c>
    </row>
    <row r="93">
      <c r="A93" s="6" t="inlineStr">
        <is>
          <t>E72</t>
        </is>
      </c>
      <c r="B93" s="6" t="n">
        <v>0.2376926091220818</v>
      </c>
      <c r="C93" s="6" t="inlineStr">
        <is>
          <t>C</t>
        </is>
      </c>
      <c r="D93" s="6" t="n">
        <v>0.624147594809881</v>
      </c>
      <c r="E93" s="6" t="n">
        <v>0.1187237726491071</v>
      </c>
      <c r="F93" s="6" t="n">
        <v>0.1971549366784349</v>
      </c>
      <c r="G93" s="6" t="n">
        <v>92</v>
      </c>
      <c r="H93" s="6" t="n">
        <v>84</v>
      </c>
      <c r="I93" s="6" t="inlineStr">
        <is>
          <t>***图书有限公司</t>
        </is>
      </c>
      <c r="J93" s="6" t="inlineStr">
        <is>
          <t>C</t>
        </is>
      </c>
      <c r="K93" s="6" t="inlineStr">
        <is>
          <t>否</t>
        </is>
      </c>
      <c r="L93" s="6" t="b">
        <v>0</v>
      </c>
    </row>
    <row r="94">
      <c r="A94" s="6" t="inlineStr">
        <is>
          <t>E100</t>
        </is>
      </c>
      <c r="B94" s="6" t="n">
        <v>0.248856706749246</v>
      </c>
      <c r="C94" s="6" t="inlineStr">
        <is>
          <t>C</t>
        </is>
      </c>
      <c r="D94" s="6" t="n">
        <v>0.5891619535002325</v>
      </c>
      <c r="E94" s="6" t="n">
        <v>0.1368329385757372</v>
      </c>
      <c r="F94" s="6" t="n">
        <v>0.1962251599658121</v>
      </c>
      <c r="G94" s="6" t="n">
        <v>93</v>
      </c>
      <c r="H94" s="6" t="n">
        <v>92</v>
      </c>
      <c r="I94" s="6" t="inlineStr">
        <is>
          <t>***装饰工程有限公司</t>
        </is>
      </c>
      <c r="J94" s="6" t="inlineStr">
        <is>
          <t>D</t>
        </is>
      </c>
      <c r="K94" s="6" t="inlineStr">
        <is>
          <t>是</t>
        </is>
      </c>
      <c r="L94" s="6" t="b">
        <v>1</v>
      </c>
    </row>
    <row r="95">
      <c r="A95" s="6" t="inlineStr">
        <is>
          <t>E79</t>
        </is>
      </c>
      <c r="B95" s="6" t="n">
        <v>0.2491498296308577</v>
      </c>
      <c r="C95" s="6" t="inlineStr">
        <is>
          <t>C</t>
        </is>
      </c>
      <c r="D95" s="6" t="n">
        <v>0.6376639307598466</v>
      </c>
      <c r="E95" s="6" t="n">
        <v>0.1144182249346936</v>
      </c>
      <c r="F95" s="6" t="n">
        <v>0.2013610602318023</v>
      </c>
      <c r="G95" s="6" t="n">
        <v>94</v>
      </c>
      <c r="H95" s="6" t="n">
        <v>80</v>
      </c>
      <c r="I95" s="6" t="inlineStr">
        <is>
          <t>***鞋业有限公司</t>
        </is>
      </c>
      <c r="J95" s="6" t="inlineStr">
        <is>
          <t>B</t>
        </is>
      </c>
      <c r="K95" s="6" t="inlineStr">
        <is>
          <t>否</t>
        </is>
      </c>
      <c r="L95" s="6" t="b">
        <v>0</v>
      </c>
    </row>
    <row r="96">
      <c r="A96" s="6" t="inlineStr">
        <is>
          <t>E55</t>
        </is>
      </c>
      <c r="B96" s="6" t="n">
        <v>0.2543112215065777</v>
      </c>
      <c r="C96" s="6" t="inlineStr">
        <is>
          <t>C</t>
        </is>
      </c>
      <c r="D96" s="6" t="n">
        <v>0.6408266829299979</v>
      </c>
      <c r="E96" s="6" t="n">
        <v>0.1124934391018443</v>
      </c>
      <c r="F96" s="6" t="n">
        <v>0.2007075526074579</v>
      </c>
      <c r="G96" s="6" t="n">
        <v>95</v>
      </c>
      <c r="H96" s="6" t="n">
        <v>77</v>
      </c>
      <c r="I96" s="6" t="inlineStr">
        <is>
          <t>***集团有限公司***电力设备分公司</t>
        </is>
      </c>
      <c r="J96" s="6" t="inlineStr">
        <is>
          <t>C</t>
        </is>
      </c>
      <c r="K96" s="6" t="inlineStr">
        <is>
          <t>否</t>
        </is>
      </c>
      <c r="L96" s="6" t="b">
        <v>0</v>
      </c>
    </row>
    <row r="97">
      <c r="A97" s="6" t="inlineStr">
        <is>
          <t>E104</t>
        </is>
      </c>
      <c r="B97" s="6" t="n">
        <v>0.2793514321136163</v>
      </c>
      <c r="C97" s="6" t="inlineStr">
        <is>
          <t>C</t>
        </is>
      </c>
      <c r="D97" s="6" t="n">
        <v>0.5526138111534099</v>
      </c>
      <c r="E97" s="6" t="n">
        <v>0.1496082307359367</v>
      </c>
      <c r="F97" s="6" t="n">
        <v>0.1847968860640318</v>
      </c>
      <c r="G97" s="6" t="n">
        <v>96</v>
      </c>
      <c r="H97" s="6" t="n">
        <v>106</v>
      </c>
      <c r="I97" s="6" t="inlineStr">
        <is>
          <t>***管理咨询有限责任公司</t>
        </is>
      </c>
      <c r="J97" s="6" t="inlineStr">
        <is>
          <t>C</t>
        </is>
      </c>
      <c r="K97" s="6" t="inlineStr">
        <is>
          <t>否</t>
        </is>
      </c>
      <c r="L97" s="6" t="b">
        <v>0</v>
      </c>
    </row>
    <row r="98">
      <c r="A98" s="6" t="inlineStr">
        <is>
          <t>E80</t>
        </is>
      </c>
      <c r="B98" s="6" t="n">
        <v>0.2942577582990666</v>
      </c>
      <c r="C98" s="6" t="inlineStr">
        <is>
          <t>C</t>
        </is>
      </c>
      <c r="D98" s="6" t="n">
        <v>0.6309665824714098</v>
      </c>
      <c r="E98" s="6" t="n">
        <v>0.1166307327068551</v>
      </c>
      <c r="F98" s="6" t="n">
        <v>0.1994130919633575</v>
      </c>
      <c r="G98" s="6" t="n">
        <v>97</v>
      </c>
      <c r="H98" s="6" t="n">
        <v>83</v>
      </c>
      <c r="I98" s="6" t="inlineStr">
        <is>
          <t>***实业有限责任公司</t>
        </is>
      </c>
      <c r="J98" s="6" t="inlineStr">
        <is>
          <t>C</t>
        </is>
      </c>
      <c r="K98" s="6" t="inlineStr">
        <is>
          <t>否</t>
        </is>
      </c>
      <c r="L98" s="6" t="b">
        <v>0</v>
      </c>
    </row>
    <row r="99">
      <c r="A99" s="6" t="inlineStr">
        <is>
          <t>E122</t>
        </is>
      </c>
      <c r="B99" s="6" t="n">
        <v>0.309328310608436</v>
      </c>
      <c r="C99" s="6" t="inlineStr">
        <is>
          <t>C</t>
        </is>
      </c>
      <c r="D99" s="6" t="n">
        <v>0.518980294657817</v>
      </c>
      <c r="E99" s="6" t="n">
        <v>0.1575079466070636</v>
      </c>
      <c r="F99" s="6" t="n">
        <v>0.1699379872243107</v>
      </c>
      <c r="G99" s="6" t="n">
        <v>98</v>
      </c>
      <c r="H99" s="6" t="n">
        <v>111</v>
      </c>
      <c r="I99" s="6" t="inlineStr">
        <is>
          <t>***商贸有限责任公司</t>
        </is>
      </c>
      <c r="J99" s="6" t="inlineStr">
        <is>
          <t>D</t>
        </is>
      </c>
      <c r="K99" s="6" t="inlineStr">
        <is>
          <t>是</t>
        </is>
      </c>
      <c r="L99" s="6" t="b">
        <v>1</v>
      </c>
    </row>
    <row r="100">
      <c r="A100" s="6" t="inlineStr">
        <is>
          <t>E92</t>
        </is>
      </c>
      <c r="B100" s="6" t="n">
        <v>0.3399330940419034</v>
      </c>
      <c r="C100" s="6" t="inlineStr">
        <is>
          <t>C</t>
        </is>
      </c>
      <c r="D100" s="6" t="n">
        <v>0.6366387730242842</v>
      </c>
      <c r="E100" s="6" t="n">
        <v>0.1170234535293509</v>
      </c>
      <c r="F100" s="6" t="n">
        <v>0.2050347212058742</v>
      </c>
      <c r="G100" s="6" t="n">
        <v>99</v>
      </c>
      <c r="H100" s="6" t="n">
        <v>82</v>
      </c>
      <c r="I100" s="6" t="inlineStr">
        <is>
          <t>***地质灾害防治有限公司</t>
        </is>
      </c>
      <c r="J100" s="6" t="inlineStr">
        <is>
          <t>C</t>
        </is>
      </c>
      <c r="K100" s="6" t="inlineStr">
        <is>
          <t>否</t>
        </is>
      </c>
      <c r="L100" s="6" t="b">
        <v>0</v>
      </c>
    </row>
    <row r="101">
      <c r="A101" s="6" t="inlineStr">
        <is>
          <t>E89</t>
        </is>
      </c>
      <c r="B101" s="6" t="n">
        <v>0.3506010919416814</v>
      </c>
      <c r="C101" s="6" t="inlineStr">
        <is>
          <t>C</t>
        </is>
      </c>
      <c r="D101" s="6" t="n">
        <v>0.4467540417135236</v>
      </c>
      <c r="E101" s="6" t="n">
        <v>0.179606352817784</v>
      </c>
      <c r="F101" s="6" t="n">
        <v>0.14503470443289</v>
      </c>
      <c r="G101" s="6" t="n">
        <v>100</v>
      </c>
      <c r="H101" s="6" t="n">
        <v>117</v>
      </c>
      <c r="I101" s="6" t="inlineStr">
        <is>
          <t>***物资有限公司</t>
        </is>
      </c>
      <c r="J101" s="6" t="inlineStr">
        <is>
          <t>A</t>
        </is>
      </c>
      <c r="K101" s="6" t="inlineStr">
        <is>
          <t>否</t>
        </is>
      </c>
      <c r="L101" s="6" t="b">
        <v>0</v>
      </c>
    </row>
    <row r="102">
      <c r="A102" s="6" t="inlineStr">
        <is>
          <t>E116</t>
        </is>
      </c>
      <c r="B102" s="6" t="n">
        <v>0.3687128117376127</v>
      </c>
      <c r="C102" s="6" t="inlineStr">
        <is>
          <t>C</t>
        </is>
      </c>
      <c r="D102" s="6" t="n">
        <v>0.5758763440662722</v>
      </c>
      <c r="E102" s="6" t="n">
        <v>0.1412643917289679</v>
      </c>
      <c r="F102" s="6" t="n">
        <v>0.1918092054462895</v>
      </c>
      <c r="G102" s="6" t="n">
        <v>101</v>
      </c>
      <c r="H102" s="6" t="n">
        <v>98</v>
      </c>
      <c r="I102" s="6" t="inlineStr">
        <is>
          <t>***门窗有限公司</t>
        </is>
      </c>
      <c r="J102" s="6" t="inlineStr">
        <is>
          <t>D</t>
        </is>
      </c>
      <c r="K102" s="6" t="inlineStr">
        <is>
          <t>是</t>
        </is>
      </c>
      <c r="L102" s="6" t="b">
        <v>1</v>
      </c>
    </row>
    <row r="103">
      <c r="A103" s="6" t="inlineStr">
        <is>
          <t>E68</t>
        </is>
      </c>
      <c r="B103" s="6" t="n">
        <v>0.3700553684039201</v>
      </c>
      <c r="C103" s="6" t="inlineStr">
        <is>
          <t>C</t>
        </is>
      </c>
      <c r="D103" s="6" t="n">
        <v>0.5586150846207694</v>
      </c>
      <c r="E103" s="6" t="n">
        <v>0.1529399436514969</v>
      </c>
      <c r="F103" s="6" t="n">
        <v>0.1935602160109452</v>
      </c>
      <c r="G103" s="6" t="n">
        <v>102</v>
      </c>
      <c r="H103" s="6" t="n">
        <v>102</v>
      </c>
      <c r="I103" s="6" t="inlineStr">
        <is>
          <t>***花木总公司</t>
        </is>
      </c>
      <c r="J103" s="6" t="inlineStr">
        <is>
          <t>C</t>
        </is>
      </c>
      <c r="K103" s="6" t="inlineStr">
        <is>
          <t>否</t>
        </is>
      </c>
      <c r="L103" s="6" t="b">
        <v>0</v>
      </c>
    </row>
    <row r="104">
      <c r="A104" s="6" t="inlineStr">
        <is>
          <t>E77</t>
        </is>
      </c>
      <c r="B104" s="6" t="n">
        <v>0.3862075978446685</v>
      </c>
      <c r="C104" s="6" t="inlineStr">
        <is>
          <t>C</t>
        </is>
      </c>
      <c r="D104" s="6" t="n">
        <v>0.5778265698625462</v>
      </c>
      <c r="E104" s="6" t="n">
        <v>0.1402113215262344</v>
      </c>
      <c r="F104" s="6" t="n">
        <v>0.1919065037963671</v>
      </c>
      <c r="G104" s="6" t="n">
        <v>103</v>
      </c>
      <c r="H104" s="6" t="n">
        <v>97</v>
      </c>
      <c r="I104" s="6" t="inlineStr">
        <is>
          <t>***机电设备有限公司</t>
        </is>
      </c>
      <c r="J104" s="6" t="inlineStr">
        <is>
          <t>C</t>
        </is>
      </c>
      <c r="K104" s="6" t="inlineStr">
        <is>
          <t>否</t>
        </is>
      </c>
      <c r="L104" s="6" t="b">
        <v>0</v>
      </c>
    </row>
    <row r="105">
      <c r="A105" s="6" t="inlineStr">
        <is>
          <t>E108</t>
        </is>
      </c>
      <c r="B105" s="6" t="n">
        <v>0.4093690278480955</v>
      </c>
      <c r="C105" s="6" t="inlineStr">
        <is>
          <t>D</t>
        </is>
      </c>
      <c r="D105" s="6" t="n">
        <v>0.5805690477738464</v>
      </c>
      <c r="E105" s="6" t="n">
        <v>0.1382986991357058</v>
      </c>
      <c r="F105" s="6" t="n">
        <v>0.1914306601347</v>
      </c>
      <c r="G105" s="6" t="n">
        <v>104</v>
      </c>
      <c r="H105" s="6" t="n">
        <v>95</v>
      </c>
      <c r="I105" s="6" t="inlineStr">
        <is>
          <t>***商贸有限公司</t>
        </is>
      </c>
      <c r="J105" s="6" t="inlineStr">
        <is>
          <t>D</t>
        </is>
      </c>
      <c r="K105" s="6" t="inlineStr">
        <is>
          <t>是</t>
        </is>
      </c>
      <c r="L105" s="6" t="b">
        <v>1</v>
      </c>
    </row>
    <row r="106">
      <c r="A106" s="6" t="inlineStr">
        <is>
          <t>E112</t>
        </is>
      </c>
      <c r="B106" s="6" t="n">
        <v>0.4141127412639321</v>
      </c>
      <c r="C106" s="6" t="inlineStr">
        <is>
          <t>D</t>
        </is>
      </c>
      <c r="D106" s="6" t="n">
        <v>0.5530611260841314</v>
      </c>
      <c r="E106" s="6" t="n">
        <v>0.1448258152782438</v>
      </c>
      <c r="F106" s="6" t="n">
        <v>0.1792136087471224</v>
      </c>
      <c r="G106" s="6" t="n">
        <v>105</v>
      </c>
      <c r="H106" s="6" t="n">
        <v>105</v>
      </c>
      <c r="I106" s="6" t="inlineStr">
        <is>
          <t>***机械设备有限公司</t>
        </is>
      </c>
      <c r="J106" s="6" t="inlineStr">
        <is>
          <t>D</t>
        </is>
      </c>
      <c r="K106" s="6" t="inlineStr">
        <is>
          <t>是</t>
        </is>
      </c>
      <c r="L106" s="6" t="b">
        <v>1</v>
      </c>
    </row>
    <row r="107">
      <c r="A107" s="6" t="inlineStr">
        <is>
          <t>E110</t>
        </is>
      </c>
      <c r="B107" s="6" t="n">
        <v>0.4313199032652147</v>
      </c>
      <c r="C107" s="6" t="inlineStr">
        <is>
          <t>D</t>
        </is>
      </c>
      <c r="D107" s="6" t="n">
        <v>0.5549401001161799</v>
      </c>
      <c r="E107" s="6" t="n">
        <v>0.1518099027722203</v>
      </c>
      <c r="F107" s="6" t="n">
        <v>0.1892900318924153</v>
      </c>
      <c r="G107" s="6" t="n">
        <v>106</v>
      </c>
      <c r="H107" s="6" t="n">
        <v>103</v>
      </c>
      <c r="I107" s="6" t="inlineStr">
        <is>
          <t>***通讯器材经营部</t>
        </is>
      </c>
      <c r="J107" s="6" t="inlineStr">
        <is>
          <t>C</t>
        </is>
      </c>
      <c r="K107" s="6" t="inlineStr">
        <is>
          <t>否</t>
        </is>
      </c>
      <c r="L107" s="6" t="b">
        <v>1</v>
      </c>
    </row>
    <row r="108">
      <c r="A108" s="6" t="inlineStr">
        <is>
          <t>E83</t>
        </is>
      </c>
      <c r="B108" s="6" t="n">
        <v>0.4326998758792323</v>
      </c>
      <c r="C108" s="6" t="inlineStr">
        <is>
          <t>D</t>
        </is>
      </c>
      <c r="D108" s="6" t="n">
        <v>0.4547252633279186</v>
      </c>
      <c r="E108" s="6" t="n">
        <v>0.1896752009657657</v>
      </c>
      <c r="F108" s="6" t="n">
        <v>0.1581773368638623</v>
      </c>
      <c r="G108" s="6" t="n">
        <v>107</v>
      </c>
      <c r="H108" s="6" t="n">
        <v>115</v>
      </c>
      <c r="I108" s="6" t="inlineStr">
        <is>
          <t>***社会福利院（***社会福利社会化服务中心）</t>
        </is>
      </c>
      <c r="J108" s="6" t="inlineStr">
        <is>
          <t>B</t>
        </is>
      </c>
      <c r="K108" s="6" t="inlineStr">
        <is>
          <t>否</t>
        </is>
      </c>
      <c r="L108" s="6" t="b">
        <v>1</v>
      </c>
    </row>
    <row r="109">
      <c r="A109" s="6" t="inlineStr">
        <is>
          <t>E103</t>
        </is>
      </c>
      <c r="B109" s="6" t="n">
        <v>0.4559915615837293</v>
      </c>
      <c r="C109" s="6" t="inlineStr">
        <is>
          <t>D</t>
        </is>
      </c>
      <c r="D109" s="6" t="n">
        <v>0.6023901931820861</v>
      </c>
      <c r="E109" s="6" t="n">
        <v>0.1278440884901151</v>
      </c>
      <c r="F109" s="6" t="n">
        <v>0.1936874388966366</v>
      </c>
      <c r="G109" s="6" t="n">
        <v>108</v>
      </c>
      <c r="H109" s="6" t="n">
        <v>88</v>
      </c>
      <c r="I109" s="6" t="inlineStr">
        <is>
          <t>***科技有限公司</t>
        </is>
      </c>
      <c r="J109" s="6" t="inlineStr">
        <is>
          <t>D</t>
        </is>
      </c>
      <c r="K109" s="6" t="inlineStr">
        <is>
          <t>是</t>
        </is>
      </c>
      <c r="L109" s="6" t="b">
        <v>1</v>
      </c>
    </row>
    <row r="110">
      <c r="A110" s="6" t="inlineStr">
        <is>
          <t>E86</t>
        </is>
      </c>
      <c r="B110" s="6" t="n">
        <v>0.473069608436184</v>
      </c>
      <c r="C110" s="6" t="inlineStr">
        <is>
          <t>D</t>
        </is>
      </c>
      <c r="D110" s="6" t="n">
        <v>0.53611484045652</v>
      </c>
      <c r="E110" s="6" t="n">
        <v>0.150197544417872</v>
      </c>
      <c r="F110" s="6" t="n">
        <v>0.1735841962303627</v>
      </c>
      <c r="G110" s="6" t="n">
        <v>109</v>
      </c>
      <c r="H110" s="6" t="n">
        <v>109</v>
      </c>
      <c r="I110" s="6" t="inlineStr">
        <is>
          <t>***地质工程勘察院***分院</t>
        </is>
      </c>
      <c r="J110" s="6" t="inlineStr">
        <is>
          <t>C</t>
        </is>
      </c>
      <c r="K110" s="6" t="inlineStr">
        <is>
          <t>否</t>
        </is>
      </c>
      <c r="L110" s="6" t="b">
        <v>1</v>
      </c>
    </row>
    <row r="111">
      <c r="A111" s="6" t="inlineStr">
        <is>
          <t>E109</t>
        </is>
      </c>
      <c r="B111" s="6" t="n">
        <v>0.4873012908139384</v>
      </c>
      <c r="C111" s="6" t="inlineStr">
        <is>
          <t>D</t>
        </is>
      </c>
      <c r="D111" s="6" t="n">
        <v>0.58868781716545</v>
      </c>
      <c r="E111" s="6" t="n">
        <v>0.1369256412412928</v>
      </c>
      <c r="F111" s="6" t="n">
        <v>0.1959739103782881</v>
      </c>
      <c r="G111" s="6" t="n">
        <v>110</v>
      </c>
      <c r="H111" s="6" t="n">
        <v>93</v>
      </c>
      <c r="I111" s="6" t="inlineStr">
        <is>
          <t>***服饰有限公司</t>
        </is>
      </c>
      <c r="J111" s="6" t="inlineStr">
        <is>
          <t>D</t>
        </is>
      </c>
      <c r="K111" s="6" t="inlineStr">
        <is>
          <t>是</t>
        </is>
      </c>
      <c r="L111" s="6" t="b">
        <v>1</v>
      </c>
    </row>
    <row r="112">
      <c r="A112" s="6" t="inlineStr">
        <is>
          <t>E101</t>
        </is>
      </c>
      <c r="B112" s="6" t="n">
        <v>0.5207895027016157</v>
      </c>
      <c r="C112" s="6" t="inlineStr">
        <is>
          <t>D</t>
        </is>
      </c>
      <c r="D112" s="6" t="n">
        <v>0.552254782419037</v>
      </c>
      <c r="E112" s="6" t="n">
        <v>0.1514883083399051</v>
      </c>
      <c r="F112" s="6" t="n">
        <v>0.1868476523619252</v>
      </c>
      <c r="G112" s="6" t="n">
        <v>111</v>
      </c>
      <c r="H112" s="6" t="n">
        <v>107</v>
      </c>
      <c r="I112" s="6" t="inlineStr">
        <is>
          <t>***灯饰工程有限公司</t>
        </is>
      </c>
      <c r="J112" s="6" t="inlineStr">
        <is>
          <t>D</t>
        </is>
      </c>
      <c r="K112" s="6" t="inlineStr">
        <is>
          <t>是</t>
        </is>
      </c>
      <c r="L112" s="6" t="b">
        <v>1</v>
      </c>
    </row>
    <row r="113">
      <c r="A113" s="6" t="inlineStr">
        <is>
          <t>E102</t>
        </is>
      </c>
      <c r="B113" s="6" t="n">
        <v>0.5233561477210709</v>
      </c>
      <c r="C113" s="6" t="inlineStr">
        <is>
          <t>D</t>
        </is>
      </c>
      <c r="D113" s="6" t="n">
        <v>0.4495545355100251</v>
      </c>
      <c r="E113" s="6" t="n">
        <v>0.190645480796636</v>
      </c>
      <c r="F113" s="6" t="n">
        <v>0.155702146889391</v>
      </c>
      <c r="G113" s="6" t="n">
        <v>112</v>
      </c>
      <c r="H113" s="6" t="n">
        <v>116</v>
      </c>
      <c r="I113" s="6" t="inlineStr">
        <is>
          <t>***大药房有限责任公司</t>
        </is>
      </c>
      <c r="J113" s="6" t="inlineStr">
        <is>
          <t>D</t>
        </is>
      </c>
      <c r="K113" s="6" t="inlineStr">
        <is>
          <t>是</t>
        </is>
      </c>
      <c r="L113" s="6" t="b">
        <v>1</v>
      </c>
    </row>
    <row r="114">
      <c r="A114" s="6" t="inlineStr">
        <is>
          <t>E117</t>
        </is>
      </c>
      <c r="B114" s="6" t="n">
        <v>0.535629577293673</v>
      </c>
      <c r="C114" s="6" t="inlineStr">
        <is>
          <t>D</t>
        </is>
      </c>
      <c r="D114" s="6" t="n">
        <v>0.5487194504347866</v>
      </c>
      <c r="E114" s="6" t="n">
        <v>0.1536979107881228</v>
      </c>
      <c r="F114" s="6" t="n">
        <v>0.1868838203239386</v>
      </c>
      <c r="G114" s="6" t="n">
        <v>113</v>
      </c>
      <c r="H114" s="6" t="n">
        <v>108</v>
      </c>
      <c r="I114" s="6" t="inlineStr">
        <is>
          <t>***人力资源管理咨询有限公司</t>
        </is>
      </c>
      <c r="J114" s="6" t="inlineStr">
        <is>
          <t>D</t>
        </is>
      </c>
      <c r="K114" s="6" t="inlineStr">
        <is>
          <t>是</t>
        </is>
      </c>
      <c r="L114" s="6" t="b">
        <v>1</v>
      </c>
    </row>
    <row r="115">
      <c r="A115" s="6" t="inlineStr">
        <is>
          <t>E121</t>
        </is>
      </c>
      <c r="B115" s="6" t="n">
        <v>0.5453696921608918</v>
      </c>
      <c r="C115" s="6" t="inlineStr">
        <is>
          <t>D</t>
        </is>
      </c>
      <c r="D115" s="6" t="n">
        <v>0.4229439000996365</v>
      </c>
      <c r="E115" s="6" t="n">
        <v>0.2021966549771853</v>
      </c>
      <c r="F115" s="6" t="n">
        <v>0.148196755667113</v>
      </c>
      <c r="G115" s="6" t="n">
        <v>114</v>
      </c>
      <c r="H115" s="6" t="n">
        <v>119</v>
      </c>
      <c r="I115" s="6" t="inlineStr">
        <is>
          <t>***药业连锁有限公司***药店</t>
        </is>
      </c>
      <c r="J115" s="6" t="inlineStr">
        <is>
          <t>D</t>
        </is>
      </c>
      <c r="K115" s="6" t="inlineStr">
        <is>
          <t>是</t>
        </is>
      </c>
      <c r="L115" s="6" t="b">
        <v>1</v>
      </c>
    </row>
    <row r="116">
      <c r="A116" s="6" t="inlineStr">
        <is>
          <t>E114</t>
        </is>
      </c>
      <c r="B116" s="6" t="n">
        <v>0.6311289549967271</v>
      </c>
      <c r="C116" s="6" t="inlineStr">
        <is>
          <t>D</t>
        </is>
      </c>
      <c r="D116" s="6" t="n">
        <v>0.4117795520324996</v>
      </c>
      <c r="E116" s="6" t="n">
        <v>0.1962469235239125</v>
      </c>
      <c r="F116" s="6" t="n">
        <v>0.1373812667268883</v>
      </c>
      <c r="G116" s="6" t="n">
        <v>115</v>
      </c>
      <c r="H116" s="6" t="n">
        <v>120</v>
      </c>
      <c r="I116" s="6" t="inlineStr">
        <is>
          <t>***食品有限责任公司</t>
        </is>
      </c>
      <c r="J116" s="6" t="inlineStr">
        <is>
          <t>D</t>
        </is>
      </c>
      <c r="K116" s="6" t="inlineStr">
        <is>
          <t>是</t>
        </is>
      </c>
      <c r="L116" s="6" t="b">
        <v>1</v>
      </c>
    </row>
    <row r="117">
      <c r="A117" s="6" t="inlineStr">
        <is>
          <t>E99</t>
        </is>
      </c>
      <c r="B117" s="6" t="n">
        <v>0.6769513533328875</v>
      </c>
      <c r="C117" s="6" t="inlineStr">
        <is>
          <t>D</t>
        </is>
      </c>
      <c r="D117" s="6" t="n">
        <v>0.4086807235635316</v>
      </c>
      <c r="E117" s="6" t="n">
        <v>0.2017570680626607</v>
      </c>
      <c r="F117" s="6" t="n">
        <v>0.1394411240181577</v>
      </c>
      <c r="G117" s="6" t="n">
        <v>116</v>
      </c>
      <c r="H117" s="6" t="n">
        <v>122</v>
      </c>
      <c r="I117" s="6" t="inlineStr">
        <is>
          <t>***建筑工程有限责任公司</t>
        </is>
      </c>
      <c r="J117" s="6" t="inlineStr">
        <is>
          <t>D</t>
        </is>
      </c>
      <c r="K117" s="6" t="inlineStr">
        <is>
          <t>是</t>
        </is>
      </c>
      <c r="L117" s="6" t="b">
        <v>1</v>
      </c>
    </row>
    <row r="118">
      <c r="A118" s="6" t="inlineStr">
        <is>
          <t>E107</t>
        </is>
      </c>
      <c r="B118" s="6" t="n">
        <v>0.7060285097965439</v>
      </c>
      <c r="C118" s="6" t="inlineStr">
        <is>
          <t>D</t>
        </is>
      </c>
      <c r="D118" s="6" t="n">
        <v>0.5259472334982777</v>
      </c>
      <c r="E118" s="6" t="n">
        <v>0.1659221685172835</v>
      </c>
      <c r="F118" s="6" t="n">
        <v>0.1840856370308372</v>
      </c>
      <c r="G118" s="6" t="n">
        <v>117</v>
      </c>
      <c r="H118" s="6" t="n">
        <v>110</v>
      </c>
      <c r="I118" s="6" t="inlineStr">
        <is>
          <t>***科技有限公司</t>
        </is>
      </c>
      <c r="J118" s="6" t="inlineStr">
        <is>
          <t>D</t>
        </is>
      </c>
      <c r="K118" s="6" t="inlineStr">
        <is>
          <t>是</t>
        </is>
      </c>
      <c r="L118" s="6" t="b">
        <v>1</v>
      </c>
    </row>
    <row r="119">
      <c r="A119" s="6" t="inlineStr">
        <is>
          <t>E123</t>
        </is>
      </c>
      <c r="B119" s="6" t="n">
        <v>0.7884054962590055</v>
      </c>
      <c r="C119" s="6" t="inlineStr">
        <is>
          <t>D</t>
        </is>
      </c>
      <c r="D119" s="6" t="n">
        <v>0.4751765167560517</v>
      </c>
      <c r="E119" s="6" t="n">
        <v>0.1889874152264863</v>
      </c>
      <c r="F119" s="6" t="n">
        <v>0.1711096864854073</v>
      </c>
      <c r="G119" s="6" t="n">
        <v>118</v>
      </c>
      <c r="H119" s="6" t="n">
        <v>114</v>
      </c>
      <c r="I119" s="6" t="inlineStr">
        <is>
          <t>***创科技有限责任公司</t>
        </is>
      </c>
      <c r="J119" s="6" t="inlineStr">
        <is>
          <t>D</t>
        </is>
      </c>
      <c r="K119" s="6" t="inlineStr">
        <is>
          <t>是</t>
        </is>
      </c>
      <c r="L119" s="6" t="b">
        <v>1</v>
      </c>
    </row>
    <row r="120">
      <c r="A120" s="6" t="inlineStr">
        <is>
          <t>E115</t>
        </is>
      </c>
      <c r="B120" s="6" t="n">
        <v>0.7961093991174868</v>
      </c>
      <c r="C120" s="6" t="inlineStr">
        <is>
          <t>D</t>
        </is>
      </c>
      <c r="D120" s="6" t="n">
        <v>0.5011475683409201</v>
      </c>
      <c r="E120" s="6" t="n">
        <v>0.1845290958718974</v>
      </c>
      <c r="F120" s="6" t="n">
        <v>0.1853780834079386</v>
      </c>
      <c r="G120" s="6" t="n">
        <v>119</v>
      </c>
      <c r="H120" s="6" t="n">
        <v>112</v>
      </c>
      <c r="I120" s="6" t="inlineStr">
        <is>
          <t>***装饰工程有限公司</t>
        </is>
      </c>
      <c r="J120" s="6" t="inlineStr">
        <is>
          <t>D</t>
        </is>
      </c>
      <c r="K120" s="6" t="inlineStr">
        <is>
          <t>是</t>
        </is>
      </c>
      <c r="L120" s="6" t="b">
        <v>1</v>
      </c>
    </row>
    <row r="121">
      <c r="A121" s="6" t="inlineStr">
        <is>
          <t>E96</t>
        </is>
      </c>
      <c r="B121" s="6" t="n">
        <v>0.8068305060074297</v>
      </c>
      <c r="C121" s="6" t="inlineStr">
        <is>
          <t>D</t>
        </is>
      </c>
      <c r="D121" s="6" t="n">
        <v>0.4092258077747939</v>
      </c>
      <c r="E121" s="6" t="n">
        <v>0.2075354056340355</v>
      </c>
      <c r="F121" s="6" t="n">
        <v>0.1437585546730897</v>
      </c>
      <c r="G121" s="6" t="n">
        <v>120</v>
      </c>
      <c r="H121" s="6" t="n">
        <v>121</v>
      </c>
      <c r="I121" s="6" t="inlineStr">
        <is>
          <t>***土地整理有限公司</t>
        </is>
      </c>
      <c r="J121" s="6" t="inlineStr">
        <is>
          <t>C</t>
        </is>
      </c>
      <c r="K121" s="6" t="inlineStr">
        <is>
          <t>否</t>
        </is>
      </c>
      <c r="L121" s="6" t="b">
        <v>1</v>
      </c>
    </row>
    <row r="122">
      <c r="A122" s="6" t="inlineStr">
        <is>
          <t>E119</t>
        </is>
      </c>
      <c r="B122" s="6" t="n">
        <v>0.820370511801267</v>
      </c>
      <c r="C122" s="6" t="inlineStr">
        <is>
          <t>D</t>
        </is>
      </c>
      <c r="D122" s="6" t="n">
        <v>0.4254043196166429</v>
      </c>
      <c r="E122" s="6" t="n">
        <v>0.2020276776825397</v>
      </c>
      <c r="F122" s="6" t="n">
        <v>0.1495720376995033</v>
      </c>
      <c r="G122" s="6" t="n">
        <v>121</v>
      </c>
      <c r="H122" s="6" t="n">
        <v>118</v>
      </c>
      <c r="I122" s="6" t="inlineStr">
        <is>
          <t>***药房</t>
        </is>
      </c>
      <c r="J122" s="6" t="inlineStr">
        <is>
          <t>D</t>
        </is>
      </c>
      <c r="K122" s="6" t="inlineStr">
        <is>
          <t>是</t>
        </is>
      </c>
      <c r="L122" s="6" t="b">
        <v>1</v>
      </c>
    </row>
    <row r="123">
      <c r="A123" s="6" t="inlineStr">
        <is>
          <t>E120</t>
        </is>
      </c>
      <c r="B123" s="6" t="n">
        <v>0.8390629721168779</v>
      </c>
      <c r="C123" s="6" t="inlineStr">
        <is>
          <t>D</t>
        </is>
      </c>
      <c r="D123" s="6" t="n">
        <v>0.4926827342689545</v>
      </c>
      <c r="E123" s="6" t="n">
        <v>0.1746205353648336</v>
      </c>
      <c r="F123" s="6" t="n">
        <v>0.1695832738889377</v>
      </c>
      <c r="G123" s="6" t="n">
        <v>122</v>
      </c>
      <c r="H123" s="6" t="n">
        <v>113</v>
      </c>
      <c r="I123" s="6" t="inlineStr">
        <is>
          <t>***陈列广告有限公司</t>
        </is>
      </c>
      <c r="J123" s="6" t="inlineStr">
        <is>
          <t>D</t>
        </is>
      </c>
      <c r="K123" s="6" t="inlineStr">
        <is>
          <t>是</t>
        </is>
      </c>
      <c r="L123" s="6" t="b">
        <v>1</v>
      </c>
    </row>
    <row r="124">
      <c r="A124" s="6" t="inlineStr">
        <is>
          <t>E113</t>
        </is>
      </c>
      <c r="B124" s="6" t="n">
        <v>0.9301541477590248</v>
      </c>
      <c r="C124" s="6" t="inlineStr">
        <is>
          <t>D</t>
        </is>
      </c>
      <c r="D124" s="6" t="n">
        <v>0.3341216004256589</v>
      </c>
      <c r="E124" s="6" t="n">
        <v>0.2232099735356863</v>
      </c>
      <c r="F124" s="6" t="n">
        <v>0.1120013408399895</v>
      </c>
      <c r="G124" s="6" t="n">
        <v>123</v>
      </c>
      <c r="H124" s="6" t="n">
        <v>123</v>
      </c>
      <c r="I124" s="6" t="inlineStr">
        <is>
          <t>***美居科技有限公司</t>
        </is>
      </c>
      <c r="J124" s="6" t="inlineStr">
        <is>
          <t>D</t>
        </is>
      </c>
      <c r="K124" s="6" t="inlineStr">
        <is>
          <t>是</t>
        </is>
      </c>
      <c r="L124" s="6" t="b">
        <v>1</v>
      </c>
    </row>
  </sheetData>
  <autoFilter ref="A1:L1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.75" customWidth="1" min="2" max="2"/>
    <col width="10" customWidth="1" min="3" max="3"/>
    <col width="24.5" customWidth="1" min="4" max="4"/>
    <col width="25.75" customWidth="1" min="5" max="5"/>
    <col width="24.5" customWidth="1" min="6" max="6"/>
    <col width="10" customWidth="1" min="7" max="7"/>
    <col width="12" customWidth="1" min="8" max="8"/>
    <col width="25.75" customWidth="1" min="9" max="9"/>
    <col width="10" customWidth="1" min="10" max="10"/>
  </cols>
  <sheetData>
    <row r="1">
      <c r="A1" s="5" t="inlineStr">
        <is>
          <t>企业代号</t>
        </is>
      </c>
      <c r="B1" s="5" t="inlineStr">
        <is>
          <t>违约概率</t>
        </is>
      </c>
      <c r="C1" s="5" t="inlineStr">
        <is>
          <t>风险等级</t>
        </is>
      </c>
      <c r="D1" s="5" t="inlineStr">
        <is>
          <t>TOPSIS得分</t>
        </is>
      </c>
      <c r="E1" s="5" t="inlineStr">
        <is>
          <t>D_pos</t>
        </is>
      </c>
      <c r="F1" s="5" t="inlineStr">
        <is>
          <t>D_neg</t>
        </is>
      </c>
      <c r="G1" s="5" t="inlineStr">
        <is>
          <t>PD排名</t>
        </is>
      </c>
      <c r="H1" s="5" t="inlineStr">
        <is>
          <t>TOPSIS排名</t>
        </is>
      </c>
      <c r="I1" s="5" t="inlineStr">
        <is>
          <t>企业名称</t>
        </is>
      </c>
      <c r="J1" s="5" t="inlineStr">
        <is>
          <t>硬性禁贷</t>
        </is>
      </c>
    </row>
    <row r="2">
      <c r="A2" s="6" t="inlineStr">
        <is>
          <t>E131</t>
        </is>
      </c>
      <c r="B2" s="6" t="n">
        <v>0.01409433955447803</v>
      </c>
      <c r="C2" s="6" t="inlineStr">
        <is>
          <t>A</t>
        </is>
      </c>
      <c r="D2" s="6" t="n">
        <v>0.782123075968717</v>
      </c>
      <c r="E2" s="6" t="n">
        <v>0.06706110412285542</v>
      </c>
      <c r="F2" s="6" t="n">
        <v>0.2407324101330494</v>
      </c>
      <c r="G2" s="6" t="n">
        <v>1</v>
      </c>
      <c r="H2" s="6" t="n">
        <v>7</v>
      </c>
      <c r="I2" s="6" t="inlineStr">
        <is>
          <t xml:space="preserve">个体经营E131 </t>
        </is>
      </c>
      <c r="J2" s="6" t="b">
        <v>0</v>
      </c>
    </row>
    <row r="3">
      <c r="A3" s="6" t="inlineStr">
        <is>
          <t>E134</t>
        </is>
      </c>
      <c r="B3" s="6" t="n">
        <v>0.01465792026087819</v>
      </c>
      <c r="C3" s="6" t="inlineStr">
        <is>
          <t>A</t>
        </is>
      </c>
      <c r="D3" s="6" t="n">
        <v>0.8165852092211051</v>
      </c>
      <c r="E3" s="6" t="n">
        <v>0.05505878233309731</v>
      </c>
      <c r="F3" s="6" t="n">
        <v>0.2451284713735586</v>
      </c>
      <c r="G3" s="6" t="n">
        <v>2</v>
      </c>
      <c r="H3" s="6" t="n">
        <v>1</v>
      </c>
      <c r="I3" s="6" t="inlineStr">
        <is>
          <t>***工程咨询有限公司</t>
        </is>
      </c>
      <c r="J3" s="6" t="b">
        <v>0</v>
      </c>
    </row>
    <row r="4">
      <c r="A4" s="6" t="inlineStr">
        <is>
          <t>E193</t>
        </is>
      </c>
      <c r="B4" s="6" t="n">
        <v>0.01582816664461734</v>
      </c>
      <c r="C4" s="6" t="inlineStr">
        <is>
          <t>A</t>
        </is>
      </c>
      <c r="D4" s="6" t="n">
        <v>0.7689180986126891</v>
      </c>
      <c r="E4" s="6" t="n">
        <v>0.07375434227197601</v>
      </c>
      <c r="F4" s="6" t="n">
        <v>0.2454153626213472</v>
      </c>
      <c r="G4" s="6" t="n">
        <v>3</v>
      </c>
      <c r="H4" s="6" t="n">
        <v>16</v>
      </c>
      <c r="I4" s="6" t="inlineStr">
        <is>
          <t xml:space="preserve">个体经营E193 </t>
        </is>
      </c>
      <c r="J4" s="6" t="b">
        <v>0</v>
      </c>
    </row>
    <row r="5">
      <c r="A5" s="6" t="inlineStr">
        <is>
          <t>E141</t>
        </is>
      </c>
      <c r="B5" s="6" t="n">
        <v>0.01637722471754487</v>
      </c>
      <c r="C5" s="6" t="inlineStr">
        <is>
          <t>A</t>
        </is>
      </c>
      <c r="D5" s="6" t="n">
        <v>0.7974374482046912</v>
      </c>
      <c r="E5" s="6" t="n">
        <v>0.06179947891264528</v>
      </c>
      <c r="F5" s="6" t="n">
        <v>0.2432888918889538</v>
      </c>
      <c r="G5" s="6" t="n">
        <v>4</v>
      </c>
      <c r="H5" s="6" t="n">
        <v>4</v>
      </c>
      <c r="I5" s="6" t="inlineStr">
        <is>
          <t>***食品有限公司</t>
        </is>
      </c>
      <c r="J5" s="6" t="b">
        <v>0</v>
      </c>
    </row>
    <row r="6">
      <c r="A6" s="6" t="inlineStr">
        <is>
          <t>E129</t>
        </is>
      </c>
      <c r="B6" s="6" t="n">
        <v>0.01644921563307851</v>
      </c>
      <c r="C6" s="6" t="inlineStr">
        <is>
          <t>A</t>
        </is>
      </c>
      <c r="D6" s="6" t="n">
        <v>0.789053140394565</v>
      </c>
      <c r="E6" s="6" t="n">
        <v>0.06589469527289403</v>
      </c>
      <c r="F6" s="6" t="n">
        <v>0.2464811106345586</v>
      </c>
      <c r="G6" s="6" t="n">
        <v>5</v>
      </c>
      <c r="H6" s="6" t="n">
        <v>5</v>
      </c>
      <c r="I6" s="6" t="inlineStr">
        <is>
          <t xml:space="preserve">个体经营E129 </t>
        </is>
      </c>
      <c r="J6" s="6" t="b">
        <v>0</v>
      </c>
    </row>
    <row r="7">
      <c r="A7" s="6" t="inlineStr">
        <is>
          <t>E194</t>
        </is>
      </c>
      <c r="B7" s="6" t="n">
        <v>0.01689116311405442</v>
      </c>
      <c r="C7" s="6" t="inlineStr">
        <is>
          <t>A</t>
        </is>
      </c>
      <c r="D7" s="6" t="n">
        <v>0.7987294624026758</v>
      </c>
      <c r="E7" s="6" t="n">
        <v>0.06223700388599493</v>
      </c>
      <c r="F7" s="6" t="n">
        <v>0.2469836333168062</v>
      </c>
      <c r="G7" s="6" t="n">
        <v>6</v>
      </c>
      <c r="H7" s="6" t="n">
        <v>3</v>
      </c>
      <c r="I7" s="6" t="inlineStr">
        <is>
          <t>***文化传播有限公司</t>
        </is>
      </c>
      <c r="J7" s="6" t="b">
        <v>0</v>
      </c>
    </row>
    <row r="8">
      <c r="A8" s="6" t="inlineStr">
        <is>
          <t>E138</t>
        </is>
      </c>
      <c r="B8" s="6" t="n">
        <v>0.01820365162389506</v>
      </c>
      <c r="C8" s="6" t="inlineStr">
        <is>
          <t>A</t>
        </is>
      </c>
      <c r="D8" s="6" t="n">
        <v>0.7568530970846399</v>
      </c>
      <c r="E8" s="6" t="n">
        <v>0.0756568718370547</v>
      </c>
      <c r="F8" s="6" t="n">
        <v>0.2355001732658023</v>
      </c>
      <c r="G8" s="6" t="n">
        <v>7</v>
      </c>
      <c r="H8" s="6" t="n">
        <v>27</v>
      </c>
      <c r="I8" s="6" t="inlineStr">
        <is>
          <t xml:space="preserve">个体经营E138 </t>
        </is>
      </c>
      <c r="J8" s="6" t="b">
        <v>0</v>
      </c>
    </row>
    <row r="9">
      <c r="A9" s="6" t="inlineStr">
        <is>
          <t>E238</t>
        </is>
      </c>
      <c r="B9" s="6" t="n">
        <v>0.01837065317456444</v>
      </c>
      <c r="C9" s="6" t="inlineStr">
        <is>
          <t>A</t>
        </is>
      </c>
      <c r="D9" s="6" t="n">
        <v>0.7771538440062898</v>
      </c>
      <c r="E9" s="6" t="n">
        <v>0.06902399898424255</v>
      </c>
      <c r="F9" s="6" t="n">
        <v>0.2407143434899745</v>
      </c>
      <c r="G9" s="6" t="n">
        <v>8</v>
      </c>
      <c r="H9" s="6" t="n">
        <v>12</v>
      </c>
      <c r="I9" s="6" t="inlineStr">
        <is>
          <t xml:space="preserve">个体经营E238 </t>
        </is>
      </c>
      <c r="J9" s="6" t="b">
        <v>0</v>
      </c>
    </row>
    <row r="10">
      <c r="A10" s="6" t="inlineStr">
        <is>
          <t>E139</t>
        </is>
      </c>
      <c r="B10" s="6" t="n">
        <v>0.01982193705546853</v>
      </c>
      <c r="C10" s="6" t="inlineStr">
        <is>
          <t>A</t>
        </is>
      </c>
      <c r="D10" s="6" t="n">
        <v>0.7505516168870732</v>
      </c>
      <c r="E10" s="6" t="n">
        <v>0.08012127565279802</v>
      </c>
      <c r="F10" s="6" t="n">
        <v>0.2410725306687551</v>
      </c>
      <c r="G10" s="6" t="n">
        <v>9</v>
      </c>
      <c r="H10" s="6" t="n">
        <v>32</v>
      </c>
      <c r="I10" s="6" t="inlineStr">
        <is>
          <t xml:space="preserve">个体经营E139 </t>
        </is>
      </c>
      <c r="J10" s="6" t="b">
        <v>0</v>
      </c>
    </row>
    <row r="11">
      <c r="A11" s="6" t="inlineStr">
        <is>
          <t>E167</t>
        </is>
      </c>
      <c r="B11" s="6" t="n">
        <v>0.02005104304122679</v>
      </c>
      <c r="C11" s="6" t="inlineStr">
        <is>
          <t>A</t>
        </is>
      </c>
      <c r="D11" s="6" t="n">
        <v>0.6025061412332869</v>
      </c>
      <c r="E11" s="6" t="n">
        <v>0.1394121375836802</v>
      </c>
      <c r="F11" s="6" t="n">
        <v>0.2113156397365233</v>
      </c>
      <c r="G11" s="6" t="n">
        <v>10</v>
      </c>
      <c r="H11" s="6" t="n">
        <v>220</v>
      </c>
      <c r="I11" s="6" t="inlineStr">
        <is>
          <t>***体育文化股份有限公司</t>
        </is>
      </c>
      <c r="J11" s="6" t="b">
        <v>0</v>
      </c>
    </row>
    <row r="12">
      <c r="A12" s="6" t="inlineStr">
        <is>
          <t>E273</t>
        </is>
      </c>
      <c r="B12" s="6" t="n">
        <v>0.02065041060301468</v>
      </c>
      <c r="C12" s="6" t="inlineStr">
        <is>
          <t>A</t>
        </is>
      </c>
      <c r="D12" s="6" t="n">
        <v>0.7417846449767738</v>
      </c>
      <c r="E12" s="6" t="n">
        <v>0.08052395012531177</v>
      </c>
      <c r="F12" s="6" t="n">
        <v>0.2313240812129822</v>
      </c>
      <c r="G12" s="6" t="n">
        <v>11</v>
      </c>
      <c r="H12" s="6" t="n">
        <v>49</v>
      </c>
      <c r="I12" s="6" t="inlineStr">
        <is>
          <t xml:space="preserve">个体经营E273 </t>
        </is>
      </c>
      <c r="J12" s="6" t="b">
        <v>0</v>
      </c>
    </row>
    <row r="13">
      <c r="A13" s="6" t="inlineStr">
        <is>
          <t>E197</t>
        </is>
      </c>
      <c r="B13" s="6" t="n">
        <v>0.02129939826871391</v>
      </c>
      <c r="C13" s="6" t="inlineStr">
        <is>
          <t>A</t>
        </is>
      </c>
      <c r="D13" s="6" t="n">
        <v>0.8135203583378118</v>
      </c>
      <c r="E13" s="6" t="n">
        <v>0.05554982138746382</v>
      </c>
      <c r="F13" s="6" t="n">
        <v>0.2423369661048324</v>
      </c>
      <c r="G13" s="6" t="n">
        <v>12</v>
      </c>
      <c r="H13" s="6" t="n">
        <v>2</v>
      </c>
      <c r="I13" s="6" t="inlineStr">
        <is>
          <t>***医疗设备有限公司</t>
        </is>
      </c>
      <c r="J13" s="6" t="b">
        <v>0</v>
      </c>
    </row>
    <row r="14">
      <c r="A14" s="6" t="inlineStr">
        <is>
          <t>E171</t>
        </is>
      </c>
      <c r="B14" s="6" t="n">
        <v>0.02190552089168732</v>
      </c>
      <c r="C14" s="6" t="inlineStr">
        <is>
          <t>A</t>
        </is>
      </c>
      <c r="D14" s="6" t="n">
        <v>0.7872548722134433</v>
      </c>
      <c r="E14" s="6" t="n">
        <v>0.06405675276918882</v>
      </c>
      <c r="F14" s="6" t="n">
        <v>0.237039462385763</v>
      </c>
      <c r="G14" s="6" t="n">
        <v>13</v>
      </c>
      <c r="H14" s="6" t="n">
        <v>6</v>
      </c>
      <c r="I14" s="6" t="inlineStr">
        <is>
          <t>***质量检验测试站</t>
        </is>
      </c>
      <c r="J14" s="6" t="b">
        <v>0</v>
      </c>
    </row>
    <row r="15">
      <c r="A15" s="6" t="inlineStr">
        <is>
          <t>E195</t>
        </is>
      </c>
      <c r="B15" s="6" t="n">
        <v>0.02261122034088277</v>
      </c>
      <c r="C15" s="6" t="inlineStr">
        <is>
          <t>A</t>
        </is>
      </c>
      <c r="D15" s="6" t="n">
        <v>0.7492865078729684</v>
      </c>
      <c r="E15" s="6" t="n">
        <v>0.07822528268947267</v>
      </c>
      <c r="F15" s="6" t="n">
        <v>0.233785379464431</v>
      </c>
      <c r="G15" s="6" t="n">
        <v>14</v>
      </c>
      <c r="H15" s="6" t="n">
        <v>37</v>
      </c>
      <c r="I15" s="6" t="inlineStr">
        <is>
          <t>***医药有限公司</t>
        </is>
      </c>
      <c r="J15" s="6" t="b">
        <v>0</v>
      </c>
    </row>
    <row r="16">
      <c r="A16" s="6" t="inlineStr">
        <is>
          <t>E127</t>
        </is>
      </c>
      <c r="B16" s="6" t="n">
        <v>0.02263237919955923</v>
      </c>
      <c r="C16" s="6" t="inlineStr">
        <is>
          <t>A</t>
        </is>
      </c>
      <c r="D16" s="6" t="n">
        <v>0.7437499037576402</v>
      </c>
      <c r="E16" s="6" t="n">
        <v>0.08425720383960886</v>
      </c>
      <c r="F16" s="6" t="n">
        <v>0.2445512730162159</v>
      </c>
      <c r="G16" s="6" t="n">
        <v>15</v>
      </c>
      <c r="H16" s="6" t="n">
        <v>47</v>
      </c>
      <c r="I16" s="6" t="inlineStr">
        <is>
          <t xml:space="preserve">个体经营E127 </t>
        </is>
      </c>
      <c r="J16" s="6" t="b">
        <v>0</v>
      </c>
    </row>
    <row r="17">
      <c r="A17" s="6" t="inlineStr">
        <is>
          <t>E185</t>
        </is>
      </c>
      <c r="B17" s="6" t="n">
        <v>0.02443992173750735</v>
      </c>
      <c r="C17" s="6" t="inlineStr">
        <is>
          <t>A</t>
        </is>
      </c>
      <c r="D17" s="6" t="n">
        <v>0.6951935689076699</v>
      </c>
      <c r="E17" s="6" t="n">
        <v>0.09786647204268893</v>
      </c>
      <c r="F17" s="6" t="n">
        <v>0.2232109792826206</v>
      </c>
      <c r="G17" s="6" t="n">
        <v>16</v>
      </c>
      <c r="H17" s="6" t="n">
        <v>121</v>
      </c>
      <c r="I17" s="6" t="inlineStr">
        <is>
          <t>***生态魔芋有限公司</t>
        </is>
      </c>
      <c r="J17" s="6" t="b">
        <v>0</v>
      </c>
    </row>
    <row r="18">
      <c r="A18" s="6" t="inlineStr">
        <is>
          <t>E152</t>
        </is>
      </c>
      <c r="B18" s="6" t="n">
        <v>0.02544519495368758</v>
      </c>
      <c r="C18" s="6" t="inlineStr">
        <is>
          <t>A</t>
        </is>
      </c>
      <c r="D18" s="6" t="n">
        <v>0.7412633640736952</v>
      </c>
      <c r="E18" s="6" t="n">
        <v>0.08347300923994008</v>
      </c>
      <c r="F18" s="6" t="n">
        <v>0.2391446554023237</v>
      </c>
      <c r="G18" s="6" t="n">
        <v>17</v>
      </c>
      <c r="H18" s="6" t="n">
        <v>50</v>
      </c>
      <c r="I18" s="6" t="inlineStr">
        <is>
          <t>***运贸有限责任公司</t>
        </is>
      </c>
      <c r="J18" s="6" t="b">
        <v>0</v>
      </c>
    </row>
    <row r="19">
      <c r="A19" s="6" t="inlineStr">
        <is>
          <t>E126</t>
        </is>
      </c>
      <c r="B19" s="6" t="n">
        <v>0.02545191671898553</v>
      </c>
      <c r="C19" s="6" t="inlineStr">
        <is>
          <t>A</t>
        </is>
      </c>
      <c r="D19" s="6" t="n">
        <v>0.7751736769529918</v>
      </c>
      <c r="E19" s="6" t="n">
        <v>0.06997730050238775</v>
      </c>
      <c r="F19" s="6" t="n">
        <v>0.2412731774398966</v>
      </c>
      <c r="G19" s="6" t="n">
        <v>18</v>
      </c>
      <c r="H19" s="6" t="n">
        <v>14</v>
      </c>
      <c r="I19" s="6" t="inlineStr">
        <is>
          <t xml:space="preserve">个体经营E126 </t>
        </is>
      </c>
      <c r="J19" s="6" t="b">
        <v>0</v>
      </c>
    </row>
    <row r="20">
      <c r="A20" s="6" t="inlineStr">
        <is>
          <t>E124</t>
        </is>
      </c>
      <c r="B20" s="6" t="n">
        <v>0.02666265919539959</v>
      </c>
      <c r="C20" s="6" t="inlineStr">
        <is>
          <t>A</t>
        </is>
      </c>
      <c r="D20" s="6" t="n">
        <v>0.5895174730806948</v>
      </c>
      <c r="E20" s="6" t="n">
        <v>0.1444806079168198</v>
      </c>
      <c r="F20" s="6" t="n">
        <v>0.2074968781924063</v>
      </c>
      <c r="G20" s="6" t="n">
        <v>19</v>
      </c>
      <c r="H20" s="6" t="n">
        <v>232</v>
      </c>
      <c r="I20" s="6" t="inlineStr">
        <is>
          <t xml:space="preserve">个体经营E124 </t>
        </is>
      </c>
      <c r="J20" s="6" t="b">
        <v>0</v>
      </c>
    </row>
    <row r="21">
      <c r="A21" s="6" t="inlineStr">
        <is>
          <t>E125</t>
        </is>
      </c>
      <c r="B21" s="6" t="n">
        <v>0.02672265492519788</v>
      </c>
      <c r="C21" s="6" t="inlineStr">
        <is>
          <t>A</t>
        </is>
      </c>
      <c r="D21" s="6" t="n">
        <v>0.7403068159352404</v>
      </c>
      <c r="E21" s="6" t="n">
        <v>0.08141147495041717</v>
      </c>
      <c r="F21" s="6" t="n">
        <v>0.232079521140245</v>
      </c>
      <c r="G21" s="6" t="n">
        <v>20</v>
      </c>
      <c r="H21" s="6" t="n">
        <v>51</v>
      </c>
      <c r="I21" s="6" t="inlineStr">
        <is>
          <t xml:space="preserve">个体经营E125 </t>
        </is>
      </c>
      <c r="J21" s="6" t="b">
        <v>0</v>
      </c>
    </row>
    <row r="22">
      <c r="A22" s="6" t="inlineStr">
        <is>
          <t>E176</t>
        </is>
      </c>
      <c r="B22" s="6" t="n">
        <v>0.02692041333978598</v>
      </c>
      <c r="C22" s="6" t="inlineStr">
        <is>
          <t>A</t>
        </is>
      </c>
      <c r="D22" s="6" t="n">
        <v>0.7806131248989533</v>
      </c>
      <c r="E22" s="6" t="n">
        <v>0.06793207212386718</v>
      </c>
      <c r="F22" s="6" t="n">
        <v>0.2417130335488334</v>
      </c>
      <c r="G22" s="6" t="n">
        <v>21</v>
      </c>
      <c r="H22" s="6" t="n">
        <v>8</v>
      </c>
      <c r="I22" s="6" t="inlineStr">
        <is>
          <t>***科技有限公司</t>
        </is>
      </c>
      <c r="J22" s="6" t="b">
        <v>0</v>
      </c>
    </row>
    <row r="23">
      <c r="A23" s="6" t="inlineStr">
        <is>
          <t>E132</t>
        </is>
      </c>
      <c r="B23" s="6" t="n">
        <v>0.02837542524226984</v>
      </c>
      <c r="C23" s="6" t="inlineStr">
        <is>
          <t>A</t>
        </is>
      </c>
      <c r="D23" s="6" t="n">
        <v>0.7788442135414388</v>
      </c>
      <c r="E23" s="6" t="n">
        <v>0.06823028670631036</v>
      </c>
      <c r="F23" s="6" t="n">
        <v>0.2402865637858423</v>
      </c>
      <c r="G23" s="6" t="n">
        <v>22</v>
      </c>
      <c r="H23" s="6" t="n">
        <v>11</v>
      </c>
      <c r="I23" s="6" t="inlineStr">
        <is>
          <t xml:space="preserve">个体经营E132 </t>
        </is>
      </c>
      <c r="J23" s="6" t="b">
        <v>0</v>
      </c>
    </row>
    <row r="24">
      <c r="A24" s="6" t="inlineStr">
        <is>
          <t>E196</t>
        </is>
      </c>
      <c r="B24" s="6" t="n">
        <v>0.02950441186815578</v>
      </c>
      <c r="C24" s="6" t="inlineStr">
        <is>
          <t>A</t>
        </is>
      </c>
      <c r="D24" s="6" t="n">
        <v>0.7572938488334816</v>
      </c>
      <c r="E24" s="6" t="n">
        <v>0.0740356698750787</v>
      </c>
      <c r="F24" s="6" t="n">
        <v>0.2310067426028956</v>
      </c>
      <c r="G24" s="6" t="n">
        <v>23</v>
      </c>
      <c r="H24" s="6" t="n">
        <v>25</v>
      </c>
      <c r="I24" s="6" t="inlineStr">
        <is>
          <t>***地质制图印刷厂</t>
        </is>
      </c>
      <c r="J24" s="6" t="b">
        <v>0</v>
      </c>
    </row>
    <row r="25">
      <c r="A25" s="6" t="inlineStr">
        <is>
          <t>E173</t>
        </is>
      </c>
      <c r="B25" s="6" t="n">
        <v>0.03013138606303402</v>
      </c>
      <c r="C25" s="6" t="inlineStr">
        <is>
          <t>A</t>
        </is>
      </c>
      <c r="D25" s="6" t="n">
        <v>0.7377998274850279</v>
      </c>
      <c r="E25" s="6" t="n">
        <v>0.08005209825294156</v>
      </c>
      <c r="F25" s="6" t="n">
        <v>0.2252570000786793</v>
      </c>
      <c r="G25" s="6" t="n">
        <v>24</v>
      </c>
      <c r="H25" s="6" t="n">
        <v>55</v>
      </c>
      <c r="I25" s="6" t="inlineStr">
        <is>
          <t>***贸易有限责任公司</t>
        </is>
      </c>
      <c r="J25" s="6" t="b">
        <v>0</v>
      </c>
    </row>
    <row r="26">
      <c r="A26" s="6" t="inlineStr">
        <is>
          <t>E145</t>
        </is>
      </c>
      <c r="B26" s="6" t="n">
        <v>0.03041075954799476</v>
      </c>
      <c r="C26" s="6" t="inlineStr">
        <is>
          <t>A</t>
        </is>
      </c>
      <c r="D26" s="6" t="n">
        <v>0.7572415285191874</v>
      </c>
      <c r="E26" s="6" t="n">
        <v>0.07324556475984055</v>
      </c>
      <c r="F26" s="6" t="n">
        <v>0.2284764073429118</v>
      </c>
      <c r="G26" s="6" t="n">
        <v>25</v>
      </c>
      <c r="H26" s="6" t="n">
        <v>26</v>
      </c>
      <c r="I26" s="6" t="inlineStr">
        <is>
          <t>***工贸有限公司</t>
        </is>
      </c>
      <c r="J26" s="6" t="b">
        <v>0</v>
      </c>
    </row>
    <row r="27">
      <c r="A27" s="6" t="inlineStr">
        <is>
          <t>E147</t>
        </is>
      </c>
      <c r="B27" s="6" t="n">
        <v>0.03175399065945604</v>
      </c>
      <c r="C27" s="6" t="inlineStr">
        <is>
          <t>A</t>
        </is>
      </c>
      <c r="D27" s="6" t="n">
        <v>0.7452530364215859</v>
      </c>
      <c r="E27" s="6" t="n">
        <v>0.07899200745174487</v>
      </c>
      <c r="F27" s="6" t="n">
        <v>0.2310882633477545</v>
      </c>
      <c r="G27" s="6" t="n">
        <v>26</v>
      </c>
      <c r="H27" s="6" t="n">
        <v>45</v>
      </c>
      <c r="I27" s="6" t="inlineStr">
        <is>
          <t>***装饰工程有限责任公司</t>
        </is>
      </c>
      <c r="J27" s="6" t="b">
        <v>0</v>
      </c>
    </row>
    <row r="28">
      <c r="A28" s="6" t="inlineStr">
        <is>
          <t>E165</t>
        </is>
      </c>
      <c r="B28" s="6" t="n">
        <v>0.03236858187002331</v>
      </c>
      <c r="C28" s="6" t="inlineStr">
        <is>
          <t>A</t>
        </is>
      </c>
      <c r="D28" s="6" t="n">
        <v>0.7480970497862371</v>
      </c>
      <c r="E28" s="6" t="n">
        <v>0.07735218303093362</v>
      </c>
      <c r="F28" s="6" t="n">
        <v>0.2297191830062374</v>
      </c>
      <c r="G28" s="6" t="n">
        <v>27</v>
      </c>
      <c r="H28" s="6" t="n">
        <v>40</v>
      </c>
      <c r="I28" s="6" t="inlineStr">
        <is>
          <t>***文化传媒股份有限公司</t>
        </is>
      </c>
      <c r="J28" s="6" t="b">
        <v>0</v>
      </c>
    </row>
    <row r="29">
      <c r="A29" s="6" t="inlineStr">
        <is>
          <t>E180</t>
        </is>
      </c>
      <c r="B29" s="6" t="n">
        <v>0.03240215203423331</v>
      </c>
      <c r="C29" s="6" t="inlineStr">
        <is>
          <t>A</t>
        </is>
      </c>
      <c r="D29" s="6" t="n">
        <v>0.7652543669516544</v>
      </c>
      <c r="E29" s="6" t="n">
        <v>0.07049235305539783</v>
      </c>
      <c r="F29" s="6" t="n">
        <v>0.2298001471287483</v>
      </c>
      <c r="G29" s="6" t="n">
        <v>28</v>
      </c>
      <c r="H29" s="6" t="n">
        <v>17</v>
      </c>
      <c r="I29" s="6" t="inlineStr">
        <is>
          <t>***电气有限公司</t>
        </is>
      </c>
      <c r="J29" s="6" t="b">
        <v>0</v>
      </c>
    </row>
    <row r="30">
      <c r="A30" s="6" t="inlineStr">
        <is>
          <t>E225</t>
        </is>
      </c>
      <c r="B30" s="6" t="n">
        <v>0.03276129700566233</v>
      </c>
      <c r="C30" s="6" t="inlineStr">
        <is>
          <t>A</t>
        </is>
      </c>
      <c r="D30" s="6" t="n">
        <v>0.7650917562704983</v>
      </c>
      <c r="E30" s="6" t="n">
        <v>0.07136089663949927</v>
      </c>
      <c r="F30" s="6" t="n">
        <v>0.2324211056714616</v>
      </c>
      <c r="G30" s="6" t="n">
        <v>29</v>
      </c>
      <c r="H30" s="6" t="n">
        <v>18</v>
      </c>
      <c r="I30" s="6" t="inlineStr">
        <is>
          <t>***物业服务有限责任公司***分公司</t>
        </is>
      </c>
      <c r="J30" s="6" t="b">
        <v>0</v>
      </c>
    </row>
    <row r="31">
      <c r="A31" s="6" t="inlineStr">
        <is>
          <t>E256</t>
        </is>
      </c>
      <c r="B31" s="6" t="n">
        <v>0.0330096940278149</v>
      </c>
      <c r="C31" s="6" t="inlineStr">
        <is>
          <t>A</t>
        </is>
      </c>
      <c r="D31" s="6" t="n">
        <v>0.7265149432915473</v>
      </c>
      <c r="E31" s="6" t="n">
        <v>0.08652348868398056</v>
      </c>
      <c r="F31" s="6" t="n">
        <v>0.2298502456813982</v>
      </c>
      <c r="G31" s="6" t="n">
        <v>30</v>
      </c>
      <c r="H31" s="6" t="n">
        <v>69</v>
      </c>
      <c r="I31" s="6" t="inlineStr">
        <is>
          <t>***物资有限公司</t>
        </is>
      </c>
      <c r="J31" s="6" t="b">
        <v>0</v>
      </c>
    </row>
    <row r="32">
      <c r="A32" s="6" t="inlineStr">
        <is>
          <t>E169</t>
        </is>
      </c>
      <c r="B32" s="6" t="n">
        <v>0.03306335910622766</v>
      </c>
      <c r="C32" s="6" t="inlineStr">
        <is>
          <t>A</t>
        </is>
      </c>
      <c r="D32" s="6" t="n">
        <v>0.7789189854574879</v>
      </c>
      <c r="E32" s="6" t="n">
        <v>0.06580557131361904</v>
      </c>
      <c r="F32" s="6" t="n">
        <v>0.2318480804474424</v>
      </c>
      <c r="G32" s="6" t="n">
        <v>31</v>
      </c>
      <c r="H32" s="6" t="n">
        <v>10</v>
      </c>
      <c r="I32" s="6" t="inlineStr">
        <is>
          <t>***建筑设计有限公司</t>
        </is>
      </c>
      <c r="J32" s="6" t="b">
        <v>0</v>
      </c>
    </row>
    <row r="33">
      <c r="A33" s="6" t="inlineStr">
        <is>
          <t>E188</t>
        </is>
      </c>
      <c r="B33" s="6" t="n">
        <v>0.03408241972540585</v>
      </c>
      <c r="C33" s="6" t="inlineStr">
        <is>
          <t>A</t>
        </is>
      </c>
      <c r="D33" s="6" t="n">
        <v>0.7499575758104792</v>
      </c>
      <c r="E33" s="6" t="n">
        <v>0.0761038649158035</v>
      </c>
      <c r="F33" s="6" t="n">
        <v>0.2282599451955567</v>
      </c>
      <c r="G33" s="6" t="n">
        <v>32</v>
      </c>
      <c r="H33" s="6" t="n">
        <v>35</v>
      </c>
      <c r="I33" s="6" t="inlineStr">
        <is>
          <t>***硬质合金有限公司</t>
        </is>
      </c>
      <c r="J33" s="6" t="b">
        <v>0</v>
      </c>
    </row>
    <row r="34">
      <c r="A34" s="6" t="inlineStr">
        <is>
          <t>E330</t>
        </is>
      </c>
      <c r="B34" s="6" t="n">
        <v>0.03410204275056606</v>
      </c>
      <c r="C34" s="6" t="inlineStr">
        <is>
          <t>A</t>
        </is>
      </c>
      <c r="D34" s="6" t="n">
        <v>0.747227766077274</v>
      </c>
      <c r="E34" s="6" t="n">
        <v>0.07857815928327114</v>
      </c>
      <c r="F34" s="6" t="n">
        <v>0.2322873106452535</v>
      </c>
      <c r="G34" s="6" t="n">
        <v>33</v>
      </c>
      <c r="H34" s="6" t="n">
        <v>42</v>
      </c>
      <c r="I34" s="6" t="inlineStr">
        <is>
          <t>***酒店管理有限公司</t>
        </is>
      </c>
      <c r="J34" s="6" t="b">
        <v>0</v>
      </c>
    </row>
    <row r="35">
      <c r="A35" s="6" t="inlineStr">
        <is>
          <t>E234</t>
        </is>
      </c>
      <c r="B35" s="6" t="n">
        <v>0.03445403539811302</v>
      </c>
      <c r="C35" s="6" t="inlineStr">
        <is>
          <t>A</t>
        </is>
      </c>
      <c r="D35" s="6" t="n">
        <v>0.7635188969116966</v>
      </c>
      <c r="E35" s="6" t="n">
        <v>0.07293625632917076</v>
      </c>
      <c r="F35" s="6" t="n">
        <v>0.2354869342626625</v>
      </c>
      <c r="G35" s="6" t="n">
        <v>34</v>
      </c>
      <c r="H35" s="6" t="n">
        <v>19</v>
      </c>
      <c r="I35" s="6" t="inlineStr">
        <is>
          <t>***机电设备商贸有限公司</t>
        </is>
      </c>
      <c r="J35" s="6" t="b">
        <v>0</v>
      </c>
    </row>
    <row r="36">
      <c r="A36" s="6" t="inlineStr">
        <is>
          <t>E142</t>
        </is>
      </c>
      <c r="B36" s="6" t="n">
        <v>0.0353189820452128</v>
      </c>
      <c r="C36" s="6" t="inlineStr">
        <is>
          <t>A</t>
        </is>
      </c>
      <c r="D36" s="6" t="n">
        <v>0.7527247804067488</v>
      </c>
      <c r="E36" s="6" t="n">
        <v>0.07541205831070014</v>
      </c>
      <c r="F36" s="6" t="n">
        <v>0.2295601036178068</v>
      </c>
      <c r="G36" s="6" t="n">
        <v>35</v>
      </c>
      <c r="H36" s="6" t="n">
        <v>29</v>
      </c>
      <c r="I36" s="6" t="inlineStr">
        <is>
          <t>***运业有限公司</t>
        </is>
      </c>
      <c r="J36" s="6" t="b">
        <v>0</v>
      </c>
    </row>
    <row r="37">
      <c r="A37" s="6" t="inlineStr">
        <is>
          <t>E289</t>
        </is>
      </c>
      <c r="B37" s="6" t="n">
        <v>0.03594094962091012</v>
      </c>
      <c r="C37" s="6" t="inlineStr">
        <is>
          <t>A</t>
        </is>
      </c>
      <c r="D37" s="6" t="n">
        <v>0.7347913966763318</v>
      </c>
      <c r="E37" s="6" t="n">
        <v>0.08329581832464772</v>
      </c>
      <c r="F37" s="6" t="n">
        <v>0.2307807888470702</v>
      </c>
      <c r="G37" s="6" t="n">
        <v>36</v>
      </c>
      <c r="H37" s="6" t="n">
        <v>59</v>
      </c>
      <c r="I37" s="6" t="inlineStr">
        <is>
          <t>***运业有限公司***分公司</t>
        </is>
      </c>
      <c r="J37" s="6" t="b">
        <v>0</v>
      </c>
    </row>
    <row r="38">
      <c r="A38" s="6" t="inlineStr">
        <is>
          <t>E155</t>
        </is>
      </c>
      <c r="B38" s="6" t="n">
        <v>0.03688032966167074</v>
      </c>
      <c r="C38" s="6" t="inlineStr">
        <is>
          <t>A</t>
        </is>
      </c>
      <c r="D38" s="6" t="n">
        <v>0.7338470145175991</v>
      </c>
      <c r="E38" s="6" t="n">
        <v>0.08104744902106607</v>
      </c>
      <c r="F38" s="6" t="n">
        <v>0.2234670724830531</v>
      </c>
      <c r="G38" s="6" t="n">
        <v>37</v>
      </c>
      <c r="H38" s="6" t="n">
        <v>62</v>
      </c>
      <c r="I38" s="6" t="inlineStr">
        <is>
          <t xml:space="preserve">个体经营E155 </t>
        </is>
      </c>
      <c r="J38" s="6" t="b">
        <v>0</v>
      </c>
    </row>
    <row r="39">
      <c r="A39" s="6" t="inlineStr">
        <is>
          <t>E246</t>
        </is>
      </c>
      <c r="B39" s="6" t="n">
        <v>0.03713924790737611</v>
      </c>
      <c r="C39" s="6" t="inlineStr">
        <is>
          <t>A</t>
        </is>
      </c>
      <c r="D39" s="6" t="n">
        <v>0.750497429714353</v>
      </c>
      <c r="E39" s="6" t="n">
        <v>0.07677949512860165</v>
      </c>
      <c r="F39" s="6" t="n">
        <v>0.230950782121446</v>
      </c>
      <c r="G39" s="6" t="n">
        <v>38</v>
      </c>
      <c r="H39" s="6" t="n">
        <v>33</v>
      </c>
      <c r="I39" s="6" t="inlineStr">
        <is>
          <t>***物业服务有限公司</t>
        </is>
      </c>
      <c r="J39" s="6" t="b">
        <v>0</v>
      </c>
    </row>
    <row r="40">
      <c r="A40" s="6" t="inlineStr">
        <is>
          <t>E220</t>
        </is>
      </c>
      <c r="B40" s="6" t="n">
        <v>0.03716901448658626</v>
      </c>
      <c r="C40" s="6" t="inlineStr">
        <is>
          <t>A</t>
        </is>
      </c>
      <c r="D40" s="6" t="n">
        <v>0.7627163974045446</v>
      </c>
      <c r="E40" s="6" t="n">
        <v>0.07255849190401846</v>
      </c>
      <c r="F40" s="6" t="n">
        <v>0.2332295655527934</v>
      </c>
      <c r="G40" s="6" t="n">
        <v>39</v>
      </c>
      <c r="H40" s="6" t="n">
        <v>20</v>
      </c>
      <c r="I40" s="6" t="inlineStr">
        <is>
          <t>***文化传播有限公司</t>
        </is>
      </c>
      <c r="J40" s="6" t="b">
        <v>0</v>
      </c>
    </row>
    <row r="41">
      <c r="A41" s="6" t="inlineStr">
        <is>
          <t>E144</t>
        </is>
      </c>
      <c r="B41" s="6" t="n">
        <v>0.03782298780240304</v>
      </c>
      <c r="C41" s="6" t="inlineStr">
        <is>
          <t>A</t>
        </is>
      </c>
      <c r="D41" s="6" t="n">
        <v>0.7748562199316555</v>
      </c>
      <c r="E41" s="6" t="n">
        <v>0.06869556707216259</v>
      </c>
      <c r="F41" s="6" t="n">
        <v>0.2364230866668366</v>
      </c>
      <c r="G41" s="6" t="n">
        <v>40</v>
      </c>
      <c r="H41" s="6" t="n">
        <v>15</v>
      </c>
      <c r="I41" s="6" t="inlineStr">
        <is>
          <t>***劳务有限公司</t>
        </is>
      </c>
      <c r="J41" s="6" t="b">
        <v>0</v>
      </c>
    </row>
    <row r="42">
      <c r="A42" s="6" t="inlineStr">
        <is>
          <t>E135</t>
        </is>
      </c>
      <c r="B42" s="6" t="n">
        <v>0.0379988070640315</v>
      </c>
      <c r="C42" s="6" t="inlineStr">
        <is>
          <t>A</t>
        </is>
      </c>
      <c r="D42" s="6" t="n">
        <v>0.7601382592139747</v>
      </c>
      <c r="E42" s="6" t="n">
        <v>0.07350971587560812</v>
      </c>
      <c r="F42" s="6" t="n">
        <v>0.232957316485273</v>
      </c>
      <c r="G42" s="6" t="n">
        <v>41</v>
      </c>
      <c r="H42" s="6" t="n">
        <v>23</v>
      </c>
      <c r="I42" s="6" t="inlineStr">
        <is>
          <t>***建设工程有限公司</t>
        </is>
      </c>
      <c r="J42" s="6" t="b">
        <v>0</v>
      </c>
    </row>
    <row r="43">
      <c r="A43" s="6" t="inlineStr">
        <is>
          <t>E221</t>
        </is>
      </c>
      <c r="B43" s="6" t="n">
        <v>0.03869381256671444</v>
      </c>
      <c r="C43" s="6" t="inlineStr">
        <is>
          <t>A</t>
        </is>
      </c>
      <c r="D43" s="6" t="n">
        <v>0.7513072105653722</v>
      </c>
      <c r="E43" s="6" t="n">
        <v>0.07572359908295184</v>
      </c>
      <c r="F43" s="6" t="n">
        <v>0.2287629091712684</v>
      </c>
      <c r="G43" s="6" t="n">
        <v>42</v>
      </c>
      <c r="H43" s="6" t="n">
        <v>31</v>
      </c>
      <c r="I43" s="6" t="inlineStr">
        <is>
          <t>***测绘服务有限公司</t>
        </is>
      </c>
      <c r="J43" s="6" t="b">
        <v>0</v>
      </c>
    </row>
    <row r="44">
      <c r="A44" s="6" t="inlineStr">
        <is>
          <t>E211</t>
        </is>
      </c>
      <c r="B44" s="6" t="n">
        <v>0.03899545819589739</v>
      </c>
      <c r="C44" s="6" t="inlineStr">
        <is>
          <t>A</t>
        </is>
      </c>
      <c r="D44" s="6" t="n">
        <v>0.738914209146677</v>
      </c>
      <c r="E44" s="6" t="n">
        <v>0.07961256222906671</v>
      </c>
      <c r="F44" s="6" t="n">
        <v>0.2253161815714443</v>
      </c>
      <c r="G44" s="6" t="n">
        <v>43</v>
      </c>
      <c r="H44" s="6" t="n">
        <v>53</v>
      </c>
      <c r="I44" s="6" t="inlineStr">
        <is>
          <t xml:space="preserve">个体经营E211 </t>
        </is>
      </c>
      <c r="J44" s="6" t="b">
        <v>0</v>
      </c>
    </row>
    <row r="45">
      <c r="A45" s="6" t="inlineStr">
        <is>
          <t>E258</t>
        </is>
      </c>
      <c r="B45" s="6" t="n">
        <v>0.03938495895667792</v>
      </c>
      <c r="C45" s="6" t="inlineStr">
        <is>
          <t>A</t>
        </is>
      </c>
      <c r="D45" s="6" t="n">
        <v>0.7174656122041903</v>
      </c>
      <c r="E45" s="6" t="n">
        <v>0.09094536339495374</v>
      </c>
      <c r="F45" s="6" t="n">
        <v>0.2309459437286266</v>
      </c>
      <c r="G45" s="6" t="n">
        <v>44</v>
      </c>
      <c r="H45" s="6" t="n">
        <v>86</v>
      </c>
      <c r="I45" s="6" t="inlineStr">
        <is>
          <t>***国际货运有限公司</t>
        </is>
      </c>
      <c r="J45" s="6" t="b">
        <v>0</v>
      </c>
    </row>
    <row r="46">
      <c r="A46" s="6" t="inlineStr">
        <is>
          <t>E181</t>
        </is>
      </c>
      <c r="B46" s="6" t="n">
        <v>0.03949984998892209</v>
      </c>
      <c r="C46" s="6" t="inlineStr">
        <is>
          <t>A</t>
        </is>
      </c>
      <c r="D46" s="6" t="n">
        <v>0.5891608438525887</v>
      </c>
      <c r="E46" s="6" t="n">
        <v>0.1402431703525738</v>
      </c>
      <c r="F46" s="6" t="n">
        <v>0.2011146779783527</v>
      </c>
      <c r="G46" s="6" t="n">
        <v>45</v>
      </c>
      <c r="H46" s="6" t="n">
        <v>233</v>
      </c>
      <c r="I46" s="6" t="inlineStr">
        <is>
          <t>***食品有限公司</t>
        </is>
      </c>
      <c r="J46" s="6" t="b">
        <v>0</v>
      </c>
    </row>
    <row r="47">
      <c r="A47" s="6" t="inlineStr">
        <is>
          <t>E154</t>
        </is>
      </c>
      <c r="B47" s="6" t="n">
        <v>0.03957954285180283</v>
      </c>
      <c r="C47" s="6" t="inlineStr">
        <is>
          <t>A</t>
        </is>
      </c>
      <c r="D47" s="6" t="n">
        <v>0.5771149771674843</v>
      </c>
      <c r="E47" s="6" t="n">
        <v>0.1439546327961655</v>
      </c>
      <c r="F47" s="6" t="n">
        <v>0.1964561763451622</v>
      </c>
      <c r="G47" s="6" t="n">
        <v>46</v>
      </c>
      <c r="H47" s="6" t="n">
        <v>243</v>
      </c>
      <c r="I47" s="6" t="inlineStr">
        <is>
          <t>***汽车销售服务有限公司</t>
        </is>
      </c>
      <c r="J47" s="6" t="b">
        <v>0</v>
      </c>
    </row>
    <row r="48">
      <c r="A48" s="6" t="inlineStr">
        <is>
          <t>E204</t>
        </is>
      </c>
      <c r="B48" s="6" t="n">
        <v>0.03974630692107985</v>
      </c>
      <c r="C48" s="6" t="inlineStr">
        <is>
          <t>A</t>
        </is>
      </c>
      <c r="D48" s="6" t="n">
        <v>0.7595253145871296</v>
      </c>
      <c r="E48" s="6" t="n">
        <v>0.07340335543787065</v>
      </c>
      <c r="F48" s="6" t="n">
        <v>0.2318402310620746</v>
      </c>
      <c r="G48" s="6" t="n">
        <v>47</v>
      </c>
      <c r="H48" s="6" t="n">
        <v>24</v>
      </c>
      <c r="I48" s="6" t="inlineStr">
        <is>
          <t>***科技发展有限公司</t>
        </is>
      </c>
      <c r="J48" s="6" t="b">
        <v>0</v>
      </c>
    </row>
    <row r="49">
      <c r="A49" s="6" t="inlineStr">
        <is>
          <t>E310</t>
        </is>
      </c>
      <c r="B49" s="6" t="n">
        <v>0.03980653309570229</v>
      </c>
      <c r="C49" s="6" t="inlineStr">
        <is>
          <t>A</t>
        </is>
      </c>
      <c r="D49" s="6" t="n">
        <v>0.7334499183362686</v>
      </c>
      <c r="E49" s="6" t="n">
        <v>0.0818299754402141</v>
      </c>
      <c r="F49" s="6" t="n">
        <v>0.2251666494696496</v>
      </c>
      <c r="G49" s="6" t="n">
        <v>48</v>
      </c>
      <c r="H49" s="6" t="n">
        <v>63</v>
      </c>
      <c r="I49" s="6" t="inlineStr">
        <is>
          <t>***律师事务所</t>
        </is>
      </c>
      <c r="J49" s="6" t="b">
        <v>0</v>
      </c>
    </row>
    <row r="50">
      <c r="A50" s="6" t="inlineStr">
        <is>
          <t>E205</t>
        </is>
      </c>
      <c r="B50" s="6" t="n">
        <v>0.0398258385629043</v>
      </c>
      <c r="C50" s="6" t="inlineStr">
        <is>
          <t>A</t>
        </is>
      </c>
      <c r="D50" s="6" t="n">
        <v>0.6934146722508361</v>
      </c>
      <c r="E50" s="6" t="n">
        <v>0.09998093235788839</v>
      </c>
      <c r="F50" s="6" t="n">
        <v>0.2261303433900785</v>
      </c>
      <c r="G50" s="6" t="n">
        <v>49</v>
      </c>
      <c r="H50" s="6" t="n">
        <v>124</v>
      </c>
      <c r="I50" s="6" t="inlineStr">
        <is>
          <t xml:space="preserve">个体经营E205 </t>
        </is>
      </c>
      <c r="J50" s="6" t="b">
        <v>0</v>
      </c>
    </row>
    <row r="51">
      <c r="A51" s="6" t="inlineStr">
        <is>
          <t>E209</t>
        </is>
      </c>
      <c r="B51" s="6" t="n">
        <v>0.04076716699401999</v>
      </c>
      <c r="C51" s="6" t="inlineStr">
        <is>
          <t>A</t>
        </is>
      </c>
      <c r="D51" s="6" t="n">
        <v>0.7800133026724613</v>
      </c>
      <c r="E51" s="6" t="n">
        <v>0.0653457889410388</v>
      </c>
      <c r="F51" s="6" t="n">
        <v>0.231698485712284</v>
      </c>
      <c r="G51" s="6" t="n">
        <v>50</v>
      </c>
      <c r="H51" s="6" t="n">
        <v>9</v>
      </c>
      <c r="I51" s="6" t="inlineStr">
        <is>
          <t>***工程检测有限公司</t>
        </is>
      </c>
      <c r="J51" s="6" t="b">
        <v>0</v>
      </c>
    </row>
    <row r="52">
      <c r="A52" s="6" t="inlineStr">
        <is>
          <t>E213</t>
        </is>
      </c>
      <c r="B52" s="6" t="n">
        <v>0.04126732354215461</v>
      </c>
      <c r="C52" s="6" t="inlineStr">
        <is>
          <t>A</t>
        </is>
      </c>
      <c r="D52" s="6" t="n">
        <v>0.7492709192413468</v>
      </c>
      <c r="E52" s="6" t="n">
        <v>0.07542815907167953</v>
      </c>
      <c r="F52" s="6" t="n">
        <v>0.2254071442902196</v>
      </c>
      <c r="G52" s="6" t="n">
        <v>51</v>
      </c>
      <c r="H52" s="6" t="n">
        <v>38</v>
      </c>
      <c r="I52" s="6" t="inlineStr">
        <is>
          <t>***科技有限公司</t>
        </is>
      </c>
      <c r="J52" s="6" t="b">
        <v>0</v>
      </c>
    </row>
    <row r="53">
      <c r="A53" s="6" t="inlineStr">
        <is>
          <t>E164</t>
        </is>
      </c>
      <c r="B53" s="6" t="n">
        <v>0.04165985056170619</v>
      </c>
      <c r="C53" s="6" t="inlineStr">
        <is>
          <t>A</t>
        </is>
      </c>
      <c r="D53" s="6" t="n">
        <v>0.7520622627403996</v>
      </c>
      <c r="E53" s="6" t="n">
        <v>0.07529100792825075</v>
      </c>
      <c r="F53" s="6" t="n">
        <v>0.2283780049474219</v>
      </c>
      <c r="G53" s="6" t="n">
        <v>52</v>
      </c>
      <c r="H53" s="6" t="n">
        <v>30</v>
      </c>
      <c r="I53" s="6" t="inlineStr">
        <is>
          <t xml:space="preserve">个体经营E164 </t>
        </is>
      </c>
      <c r="J53" s="6" t="b">
        <v>0</v>
      </c>
    </row>
    <row r="54">
      <c r="A54" s="6" t="inlineStr">
        <is>
          <t>E235</t>
        </is>
      </c>
      <c r="B54" s="6" t="n">
        <v>0.04209398386789636</v>
      </c>
      <c r="C54" s="6" t="inlineStr">
        <is>
          <t>A</t>
        </is>
      </c>
      <c r="D54" s="6" t="n">
        <v>0.7562870006080455</v>
      </c>
      <c r="E54" s="6" t="n">
        <v>0.07408326786735608</v>
      </c>
      <c r="F54" s="6" t="n">
        <v>0.229894230469574</v>
      </c>
      <c r="G54" s="6" t="n">
        <v>53</v>
      </c>
      <c r="H54" s="6" t="n">
        <v>28</v>
      </c>
      <c r="I54" s="6" t="inlineStr">
        <is>
          <t xml:space="preserve">个体经营E235 </t>
        </is>
      </c>
      <c r="J54" s="6" t="b">
        <v>0</v>
      </c>
    </row>
    <row r="55">
      <c r="A55" s="6" t="inlineStr">
        <is>
          <t>E250</t>
        </is>
      </c>
      <c r="B55" s="6" t="n">
        <v>0.04218176851429475</v>
      </c>
      <c r="C55" s="6" t="inlineStr">
        <is>
          <t>A</t>
        </is>
      </c>
      <c r="D55" s="6" t="n">
        <v>0.7288278414711764</v>
      </c>
      <c r="E55" s="6" t="n">
        <v>0.0846598333878673</v>
      </c>
      <c r="F55" s="6" t="n">
        <v>0.2275397443533284</v>
      </c>
      <c r="G55" s="6" t="n">
        <v>54</v>
      </c>
      <c r="H55" s="6" t="n">
        <v>65</v>
      </c>
      <c r="I55" s="6" t="inlineStr">
        <is>
          <t>***塑料厂</t>
        </is>
      </c>
      <c r="J55" s="6" t="b">
        <v>0</v>
      </c>
    </row>
    <row r="56">
      <c r="A56" s="6" t="inlineStr">
        <is>
          <t>E206</t>
        </is>
      </c>
      <c r="B56" s="6" t="n">
        <v>0.04230395849487604</v>
      </c>
      <c r="C56" s="6" t="inlineStr">
        <is>
          <t>A</t>
        </is>
      </c>
      <c r="D56" s="6" t="n">
        <v>0.7621625455813394</v>
      </c>
      <c r="E56" s="6" t="n">
        <v>0.07136482911309848</v>
      </c>
      <c r="F56" s="6" t="n">
        <v>0.2286923224719349</v>
      </c>
      <c r="G56" s="6" t="n">
        <v>55</v>
      </c>
      <c r="H56" s="6" t="n">
        <v>21</v>
      </c>
      <c r="I56" s="6" t="inlineStr">
        <is>
          <t>***建设工程有限公司</t>
        </is>
      </c>
      <c r="J56" s="6" t="b">
        <v>0</v>
      </c>
    </row>
    <row r="57">
      <c r="A57" s="6" t="inlineStr">
        <is>
          <t>E140</t>
        </is>
      </c>
      <c r="B57" s="6" t="n">
        <v>0.04324159704600555</v>
      </c>
      <c r="C57" s="6" t="inlineStr">
        <is>
          <t>A</t>
        </is>
      </c>
      <c r="D57" s="6" t="n">
        <v>0.7221174277265265</v>
      </c>
      <c r="E57" s="6" t="n">
        <v>0.089291065995649</v>
      </c>
      <c r="F57" s="6" t="n">
        <v>0.2320355478510613</v>
      </c>
      <c r="G57" s="6" t="n">
        <v>56</v>
      </c>
      <c r="H57" s="6" t="n">
        <v>78</v>
      </c>
      <c r="I57" s="6" t="inlineStr">
        <is>
          <t>***建筑工程有限公司</t>
        </is>
      </c>
      <c r="J57" s="6" t="b">
        <v>0</v>
      </c>
    </row>
    <row r="58">
      <c r="A58" s="6" t="inlineStr">
        <is>
          <t>E212</t>
        </is>
      </c>
      <c r="B58" s="6" t="n">
        <v>0.04326917755095708</v>
      </c>
      <c r="C58" s="6" t="inlineStr">
        <is>
          <t>A</t>
        </is>
      </c>
      <c r="D58" s="6" t="n">
        <v>0.7342734750931665</v>
      </c>
      <c r="E58" s="6" t="n">
        <v>0.08306824868167396</v>
      </c>
      <c r="F58" s="6" t="n">
        <v>0.2295397934051993</v>
      </c>
      <c r="G58" s="6" t="n">
        <v>57</v>
      </c>
      <c r="H58" s="6" t="n">
        <v>61</v>
      </c>
      <c r="I58" s="6" t="inlineStr">
        <is>
          <t>***建电管理咨询有限公司</t>
        </is>
      </c>
      <c r="J58" s="6" t="b">
        <v>0</v>
      </c>
    </row>
    <row r="59">
      <c r="A59" s="6" t="inlineStr">
        <is>
          <t>E150</t>
        </is>
      </c>
      <c r="B59" s="6" t="n">
        <v>0.04352169794382738</v>
      </c>
      <c r="C59" s="6" t="inlineStr">
        <is>
          <t>A</t>
        </is>
      </c>
      <c r="D59" s="6" t="n">
        <v>0.7621098917372865</v>
      </c>
      <c r="E59" s="6" t="n">
        <v>0.07114461356225965</v>
      </c>
      <c r="F59" s="6" t="n">
        <v>0.2279204214735446</v>
      </c>
      <c r="G59" s="6" t="n">
        <v>58</v>
      </c>
      <c r="H59" s="6" t="n">
        <v>22</v>
      </c>
      <c r="I59" s="6" t="inlineStr">
        <is>
          <t>***建设工程有限公司</t>
        </is>
      </c>
      <c r="J59" s="6" t="b">
        <v>0</v>
      </c>
    </row>
    <row r="60">
      <c r="A60" s="6" t="inlineStr">
        <is>
          <t>E159</t>
        </is>
      </c>
      <c r="B60" s="6" t="n">
        <v>0.04405657966243549</v>
      </c>
      <c r="C60" s="6" t="inlineStr">
        <is>
          <t>A</t>
        </is>
      </c>
      <c r="D60" s="6" t="n">
        <v>0.7464250769923899</v>
      </c>
      <c r="E60" s="6" t="n">
        <v>0.07785883672142255</v>
      </c>
      <c r="F60" s="6" t="n">
        <v>0.2291858654831639</v>
      </c>
      <c r="G60" s="6" t="n">
        <v>59</v>
      </c>
      <c r="H60" s="6" t="n">
        <v>43</v>
      </c>
      <c r="I60" s="6" t="inlineStr">
        <is>
          <t xml:space="preserve">个体经营E159 </t>
        </is>
      </c>
      <c r="J60" s="6" t="b">
        <v>0</v>
      </c>
    </row>
    <row r="61">
      <c r="A61" s="6" t="inlineStr">
        <is>
          <t>E308</t>
        </is>
      </c>
      <c r="B61" s="6" t="n">
        <v>0.04509463613451662</v>
      </c>
      <c r="C61" s="6" t="inlineStr">
        <is>
          <t>A</t>
        </is>
      </c>
      <c r="D61" s="6" t="n">
        <v>0.7130151779990307</v>
      </c>
      <c r="E61" s="6" t="n">
        <v>0.08838215368860652</v>
      </c>
      <c r="F61" s="6" t="n">
        <v>0.2195858882181813</v>
      </c>
      <c r="G61" s="6" t="n">
        <v>60</v>
      </c>
      <c r="H61" s="6" t="n">
        <v>94</v>
      </c>
      <c r="I61" s="6" t="inlineStr">
        <is>
          <t>***餐饮文化服务有限公司</t>
        </is>
      </c>
      <c r="J61" s="6" t="b">
        <v>0</v>
      </c>
    </row>
    <row r="62">
      <c r="A62" s="6" t="inlineStr">
        <is>
          <t>E175</t>
        </is>
      </c>
      <c r="B62" s="6" t="n">
        <v>0.0451703761541593</v>
      </c>
      <c r="C62" s="6" t="inlineStr">
        <is>
          <t>A</t>
        </is>
      </c>
      <c r="D62" s="6" t="n">
        <v>0.5824654948638698</v>
      </c>
      <c r="E62" s="6" t="n">
        <v>0.1383722037346634</v>
      </c>
      <c r="F62" s="6" t="n">
        <v>0.1930308348945618</v>
      </c>
      <c r="G62" s="6" t="n">
        <v>61</v>
      </c>
      <c r="H62" s="6" t="n">
        <v>240</v>
      </c>
      <c r="I62" s="6" t="inlineStr">
        <is>
          <t>***食品集团有限公司</t>
        </is>
      </c>
      <c r="J62" s="6" t="b">
        <v>0</v>
      </c>
    </row>
    <row r="63">
      <c r="A63" s="6" t="inlineStr">
        <is>
          <t>E315</t>
        </is>
      </c>
      <c r="B63" s="6" t="n">
        <v>0.04558905821389736</v>
      </c>
      <c r="C63" s="6" t="inlineStr">
        <is>
          <t>A</t>
        </is>
      </c>
      <c r="D63" s="6" t="n">
        <v>0.714189631987169</v>
      </c>
      <c r="E63" s="6" t="n">
        <v>0.08987842734674044</v>
      </c>
      <c r="F63" s="6" t="n">
        <v>0.2245903162878694</v>
      </c>
      <c r="G63" s="6" t="n">
        <v>62</v>
      </c>
      <c r="H63" s="6" t="n">
        <v>93</v>
      </c>
      <c r="I63" s="6" t="inlineStr">
        <is>
          <t>***轮胎有限公司</t>
        </is>
      </c>
      <c r="J63" s="6" t="b">
        <v>0</v>
      </c>
    </row>
    <row r="64">
      <c r="A64" s="6" t="inlineStr">
        <is>
          <t>E143</t>
        </is>
      </c>
      <c r="B64" s="6" t="n">
        <v>0.04580673499203931</v>
      </c>
      <c r="C64" s="6" t="inlineStr">
        <is>
          <t>A</t>
        </is>
      </c>
      <c r="D64" s="6" t="n">
        <v>0.7759093916870478</v>
      </c>
      <c r="E64" s="6" t="n">
        <v>0.06728677871469255</v>
      </c>
      <c r="F64" s="6" t="n">
        <v>0.2329791682665556</v>
      </c>
      <c r="G64" s="6" t="n">
        <v>63</v>
      </c>
      <c r="H64" s="6" t="n">
        <v>13</v>
      </c>
      <c r="I64" s="6" t="inlineStr">
        <is>
          <t>***电子科技有限公司</t>
        </is>
      </c>
      <c r="J64" s="6" t="b">
        <v>0</v>
      </c>
    </row>
    <row r="65">
      <c r="A65" s="6" t="inlineStr">
        <is>
          <t>E228</t>
        </is>
      </c>
      <c r="B65" s="6" t="n">
        <v>0.04588346091911708</v>
      </c>
      <c r="C65" s="6" t="inlineStr">
        <is>
          <t>A</t>
        </is>
      </c>
      <c r="D65" s="6" t="n">
        <v>0.7494231632767328</v>
      </c>
      <c r="E65" s="6" t="n">
        <v>0.07631369306448955</v>
      </c>
      <c r="F65" s="6" t="n">
        <v>0.22823837193252</v>
      </c>
      <c r="G65" s="6" t="n">
        <v>64</v>
      </c>
      <c r="H65" s="6" t="n">
        <v>36</v>
      </c>
      <c r="I65" s="6" t="inlineStr">
        <is>
          <t>***文化发展有限公司</t>
        </is>
      </c>
      <c r="J65" s="6" t="b">
        <v>0</v>
      </c>
    </row>
    <row r="66">
      <c r="A66" s="6" t="inlineStr">
        <is>
          <t>E178</t>
        </is>
      </c>
      <c r="B66" s="6" t="n">
        <v>0.04598668078768669</v>
      </c>
      <c r="C66" s="6" t="inlineStr">
        <is>
          <t>A</t>
        </is>
      </c>
      <c r="D66" s="6" t="n">
        <v>0.5830515453993946</v>
      </c>
      <c r="E66" s="6" t="n">
        <v>0.1390073337564575</v>
      </c>
      <c r="F66" s="6" t="n">
        <v>0.1943847971476192</v>
      </c>
      <c r="G66" s="6" t="n">
        <v>65</v>
      </c>
      <c r="H66" s="6" t="n">
        <v>238</v>
      </c>
      <c r="I66" s="6" t="inlineStr">
        <is>
          <t>***贸易有限公司</t>
        </is>
      </c>
      <c r="J66" s="6" t="b">
        <v>0</v>
      </c>
    </row>
    <row r="67">
      <c r="A67" s="6" t="inlineStr">
        <is>
          <t>E348</t>
        </is>
      </c>
      <c r="B67" s="6" t="n">
        <v>0.04659731665926992</v>
      </c>
      <c r="C67" s="6" t="inlineStr">
        <is>
          <t>A</t>
        </is>
      </c>
      <c r="D67" s="6" t="n">
        <v>0.6873210743793147</v>
      </c>
      <c r="E67" s="6" t="n">
        <v>0.1004824680722117</v>
      </c>
      <c r="F67" s="6" t="n">
        <v>0.2208774312966003</v>
      </c>
      <c r="G67" s="6" t="n">
        <v>66</v>
      </c>
      <c r="H67" s="6" t="n">
        <v>137</v>
      </c>
      <c r="I67" s="6" t="inlineStr">
        <is>
          <t>***酒店管理有限公司</t>
        </is>
      </c>
      <c r="J67" s="6" t="b">
        <v>0</v>
      </c>
    </row>
    <row r="68">
      <c r="A68" s="6" t="inlineStr">
        <is>
          <t>E172</t>
        </is>
      </c>
      <c r="B68" s="6" t="n">
        <v>0.04690030864572727</v>
      </c>
      <c r="C68" s="6" t="inlineStr">
        <is>
          <t>A</t>
        </is>
      </c>
      <c r="D68" s="6" t="n">
        <v>0.7488425358695956</v>
      </c>
      <c r="E68" s="6" t="n">
        <v>0.07637442143743646</v>
      </c>
      <c r="F68" s="6" t="n">
        <v>0.2277153721980886</v>
      </c>
      <c r="G68" s="6" t="n">
        <v>67</v>
      </c>
      <c r="H68" s="6" t="n">
        <v>39</v>
      </c>
      <c r="I68" s="6" t="inlineStr">
        <is>
          <t>***物流有限公司</t>
        </is>
      </c>
      <c r="J68" s="6" t="b">
        <v>0</v>
      </c>
    </row>
    <row r="69">
      <c r="A69" s="6" t="inlineStr">
        <is>
          <t>E298</t>
        </is>
      </c>
      <c r="B69" s="6" t="n">
        <v>0.04762694213132843</v>
      </c>
      <c r="C69" s="6" t="inlineStr">
        <is>
          <t>A</t>
        </is>
      </c>
      <c r="D69" s="6" t="n">
        <v>0.7259259125620074</v>
      </c>
      <c r="E69" s="6" t="n">
        <v>0.08447355665310106</v>
      </c>
      <c r="F69" s="6" t="n">
        <v>0.2237407566471763</v>
      </c>
      <c r="G69" s="6" t="n">
        <v>68</v>
      </c>
      <c r="H69" s="6" t="n">
        <v>71</v>
      </c>
      <c r="I69" s="6" t="inlineStr">
        <is>
          <t>***电器维护服务有限公司</t>
        </is>
      </c>
      <c r="J69" s="6" t="b">
        <v>0</v>
      </c>
    </row>
    <row r="70">
      <c r="A70" s="6" t="inlineStr">
        <is>
          <t>E160</t>
        </is>
      </c>
      <c r="B70" s="6" t="n">
        <v>0.048193444411011</v>
      </c>
      <c r="C70" s="6" t="inlineStr">
        <is>
          <t>A</t>
        </is>
      </c>
      <c r="D70" s="6" t="n">
        <v>0.7435076313343799</v>
      </c>
      <c r="E70" s="6" t="n">
        <v>0.0790757206680834</v>
      </c>
      <c r="F70" s="6" t="n">
        <v>0.2292208617194089</v>
      </c>
      <c r="G70" s="6" t="n">
        <v>69</v>
      </c>
      <c r="H70" s="6" t="n">
        <v>48</v>
      </c>
      <c r="I70" s="6" t="inlineStr">
        <is>
          <t>***钢结构工程有限公司</t>
        </is>
      </c>
      <c r="J70" s="6" t="b">
        <v>0</v>
      </c>
    </row>
    <row r="71">
      <c r="A71" s="6" t="inlineStr">
        <is>
          <t>E174</t>
        </is>
      </c>
      <c r="B71" s="6" t="n">
        <v>0.04829529335596871</v>
      </c>
      <c r="C71" s="6" t="inlineStr">
        <is>
          <t>A</t>
        </is>
      </c>
      <c r="D71" s="6" t="n">
        <v>0.7475679737520302</v>
      </c>
      <c r="E71" s="6" t="n">
        <v>0.07652646169874799</v>
      </c>
      <c r="F71" s="6" t="n">
        <v>0.2266302448261771</v>
      </c>
      <c r="G71" s="6" t="n">
        <v>70</v>
      </c>
      <c r="H71" s="6" t="n">
        <v>41</v>
      </c>
      <c r="I71" s="6" t="inlineStr">
        <is>
          <t>***工程技术有限公司</t>
        </is>
      </c>
      <c r="J71" s="6" t="b">
        <v>0</v>
      </c>
    </row>
    <row r="72">
      <c r="A72" s="6" t="inlineStr">
        <is>
          <t>E170</t>
        </is>
      </c>
      <c r="B72" s="6" t="n">
        <v>0.04921503885906406</v>
      </c>
      <c r="C72" s="6" t="inlineStr">
        <is>
          <t>A</t>
        </is>
      </c>
      <c r="D72" s="6" t="n">
        <v>0.7100355997091671</v>
      </c>
      <c r="E72" s="6" t="n">
        <v>0.08978738474104721</v>
      </c>
      <c r="F72" s="6" t="n">
        <v>0.2198622986372947</v>
      </c>
      <c r="G72" s="6" t="n">
        <v>71</v>
      </c>
      <c r="H72" s="6" t="n">
        <v>100</v>
      </c>
      <c r="I72" s="6" t="inlineStr">
        <is>
          <t>***建筑劳务有限公司</t>
        </is>
      </c>
      <c r="J72" s="6" t="b">
        <v>0</v>
      </c>
    </row>
    <row r="73">
      <c r="A73" s="6" t="inlineStr">
        <is>
          <t>E259</t>
        </is>
      </c>
      <c r="B73" s="6" t="n">
        <v>0.04952850396508304</v>
      </c>
      <c r="C73" s="6" t="inlineStr">
        <is>
          <t>A</t>
        </is>
      </c>
      <c r="D73" s="6" t="n">
        <v>0.740157099042709</v>
      </c>
      <c r="E73" s="6" t="n">
        <v>0.07920802621131805</v>
      </c>
      <c r="F73" s="6" t="n">
        <v>0.2256224152573794</v>
      </c>
      <c r="G73" s="6" t="n">
        <v>72</v>
      </c>
      <c r="H73" s="6" t="n">
        <v>52</v>
      </c>
      <c r="I73" s="6" t="inlineStr">
        <is>
          <t>***文化传媒有限公司</t>
        </is>
      </c>
      <c r="J73" s="6" t="b">
        <v>0</v>
      </c>
    </row>
    <row r="74">
      <c r="A74" s="6" t="inlineStr">
        <is>
          <t>E168</t>
        </is>
      </c>
      <c r="B74" s="6" t="n">
        <v>0.05013175812459406</v>
      </c>
      <c r="C74" s="6" t="inlineStr">
        <is>
          <t>A</t>
        </is>
      </c>
      <c r="D74" s="6" t="n">
        <v>0.6938974780821543</v>
      </c>
      <c r="E74" s="6" t="n">
        <v>0.1005258702552812</v>
      </c>
      <c r="F74" s="6" t="n">
        <v>0.2278800168489784</v>
      </c>
      <c r="G74" s="6" t="n">
        <v>73</v>
      </c>
      <c r="H74" s="6" t="n">
        <v>122</v>
      </c>
      <c r="I74" s="6" t="inlineStr">
        <is>
          <t>***建材有限公司</t>
        </is>
      </c>
      <c r="J74" s="6" t="b">
        <v>0</v>
      </c>
    </row>
    <row r="75">
      <c r="A75" s="6" t="inlineStr">
        <is>
          <t>E241</t>
        </is>
      </c>
      <c r="B75" s="6" t="n">
        <v>0.05092729558061004</v>
      </c>
      <c r="C75" s="6" t="inlineStr">
        <is>
          <t>A</t>
        </is>
      </c>
      <c r="D75" s="6" t="n">
        <v>0.7229955745510646</v>
      </c>
      <c r="E75" s="6" t="n">
        <v>0.08799162519835205</v>
      </c>
      <c r="F75" s="6" t="n">
        <v>0.2296625965915915</v>
      </c>
      <c r="G75" s="6" t="n">
        <v>74</v>
      </c>
      <c r="H75" s="6" t="n">
        <v>76</v>
      </c>
      <c r="I75" s="6" t="inlineStr">
        <is>
          <t xml:space="preserve">个体经营E241 </t>
        </is>
      </c>
      <c r="J75" s="6" t="b">
        <v>0</v>
      </c>
    </row>
    <row r="76">
      <c r="A76" s="6" t="inlineStr">
        <is>
          <t>E146</t>
        </is>
      </c>
      <c r="B76" s="6" t="n">
        <v>0.05132056334433443</v>
      </c>
      <c r="C76" s="6" t="inlineStr">
        <is>
          <t>A</t>
        </is>
      </c>
      <c r="D76" s="6" t="n">
        <v>0.7285199937694821</v>
      </c>
      <c r="E76" s="6" t="n">
        <v>0.08286386155161456</v>
      </c>
      <c r="F76" s="6" t="n">
        <v>0.2223662093555356</v>
      </c>
      <c r="G76" s="6" t="n">
        <v>75</v>
      </c>
      <c r="H76" s="6" t="n">
        <v>67</v>
      </c>
      <c r="I76" s="6" t="inlineStr">
        <is>
          <t>***基础建设工程有限公司</t>
        </is>
      </c>
      <c r="J76" s="6" t="b">
        <v>0</v>
      </c>
    </row>
    <row r="77">
      <c r="A77" s="6" t="inlineStr">
        <is>
          <t>E182</t>
        </is>
      </c>
      <c r="B77" s="6" t="n">
        <v>0.05231100482376645</v>
      </c>
      <c r="C77" s="6" t="inlineStr">
        <is>
          <t>A</t>
        </is>
      </c>
      <c r="D77" s="6" t="n">
        <v>0.7247521524026722</v>
      </c>
      <c r="E77" s="6" t="n">
        <v>0.08498377226936039</v>
      </c>
      <c r="F77" s="6" t="n">
        <v>0.2237698583627924</v>
      </c>
      <c r="G77" s="6" t="n">
        <v>76</v>
      </c>
      <c r="H77" s="6" t="n">
        <v>74</v>
      </c>
      <c r="I77" s="6" t="inlineStr">
        <is>
          <t>***新材料科技有限公司</t>
        </is>
      </c>
      <c r="J77" s="6" t="b">
        <v>0</v>
      </c>
    </row>
    <row r="78">
      <c r="A78" s="6" t="inlineStr">
        <is>
          <t>E224</t>
        </is>
      </c>
      <c r="B78" s="6" t="n">
        <v>0.05334392412449664</v>
      </c>
      <c r="C78" s="6" t="inlineStr">
        <is>
          <t>A</t>
        </is>
      </c>
      <c r="D78" s="6" t="n">
        <v>0.5662366275906696</v>
      </c>
      <c r="E78" s="6" t="n">
        <v>0.1478961106752267</v>
      </c>
      <c r="F78" s="6" t="n">
        <v>0.1930642379446685</v>
      </c>
      <c r="G78" s="6" t="n">
        <v>77</v>
      </c>
      <c r="H78" s="6" t="n">
        <v>251</v>
      </c>
      <c r="I78" s="6" t="inlineStr">
        <is>
          <t>***纸业有限公司</t>
        </is>
      </c>
      <c r="J78" s="6" t="b">
        <v>0</v>
      </c>
    </row>
    <row r="79">
      <c r="A79" s="6" t="inlineStr">
        <is>
          <t>E190</t>
        </is>
      </c>
      <c r="B79" s="6" t="n">
        <v>0.05408750544095667</v>
      </c>
      <c r="C79" s="6" t="inlineStr">
        <is>
          <t>A</t>
        </is>
      </c>
      <c r="D79" s="6" t="n">
        <v>0.6850003415947683</v>
      </c>
      <c r="E79" s="6" t="n">
        <v>0.1014964691442315</v>
      </c>
      <c r="F79" s="6" t="n">
        <v>0.2207148934270296</v>
      </c>
      <c r="G79" s="6" t="n">
        <v>78</v>
      </c>
      <c r="H79" s="6" t="n">
        <v>138</v>
      </c>
      <c r="I79" s="6" t="inlineStr">
        <is>
          <t>***劳务有限公司</t>
        </is>
      </c>
      <c r="J79" s="6" t="b">
        <v>0</v>
      </c>
    </row>
    <row r="80">
      <c r="A80" s="6" t="inlineStr">
        <is>
          <t>E191</t>
        </is>
      </c>
      <c r="B80" s="6" t="n">
        <v>0.05440168342178302</v>
      </c>
      <c r="C80" s="6" t="inlineStr">
        <is>
          <t>A</t>
        </is>
      </c>
      <c r="D80" s="6" t="n">
        <v>0.5524736511665024</v>
      </c>
      <c r="E80" s="6" t="n">
        <v>0.1528595144794355</v>
      </c>
      <c r="F80" s="6" t="n">
        <v>0.1887058813411064</v>
      </c>
      <c r="G80" s="6" t="n">
        <v>79</v>
      </c>
      <c r="H80" s="6" t="n">
        <v>260</v>
      </c>
      <c r="I80" s="6" t="inlineStr">
        <is>
          <t>***商贸有限责任公司</t>
        </is>
      </c>
      <c r="J80" s="6" t="b">
        <v>0</v>
      </c>
    </row>
    <row r="81">
      <c r="A81" s="6" t="inlineStr">
        <is>
          <t>E161</t>
        </is>
      </c>
      <c r="B81" s="6" t="n">
        <v>0.05494534440644405</v>
      </c>
      <c r="C81" s="6" t="inlineStr">
        <is>
          <t>A</t>
        </is>
      </c>
      <c r="D81" s="6" t="n">
        <v>0.7147235263925089</v>
      </c>
      <c r="E81" s="6" t="n">
        <v>0.09198866557017205</v>
      </c>
      <c r="F81" s="6" t="n">
        <v>0.2304657745276059</v>
      </c>
      <c r="G81" s="6" t="n">
        <v>80</v>
      </c>
      <c r="H81" s="6" t="n">
        <v>91</v>
      </c>
      <c r="I81" s="6" t="inlineStr">
        <is>
          <t>***建筑劳务有限责任公司</t>
        </is>
      </c>
      <c r="J81" s="6" t="b">
        <v>0</v>
      </c>
    </row>
    <row r="82">
      <c r="A82" s="6" t="inlineStr">
        <is>
          <t>E148</t>
        </is>
      </c>
      <c r="B82" s="6" t="n">
        <v>0.05600209234194682</v>
      </c>
      <c r="C82" s="6" t="inlineStr">
        <is>
          <t>A</t>
        </is>
      </c>
      <c r="D82" s="6" t="n">
        <v>0.7380191542414986</v>
      </c>
      <c r="E82" s="6" t="n">
        <v>0.07927423829709121</v>
      </c>
      <c r="F82" s="6" t="n">
        <v>0.2233213124103357</v>
      </c>
      <c r="G82" s="6" t="n">
        <v>81</v>
      </c>
      <c r="H82" s="6" t="n">
        <v>54</v>
      </c>
      <c r="I82" s="6" t="inlineStr">
        <is>
          <t>***商贸有限公司</t>
        </is>
      </c>
      <c r="J82" s="6" t="b">
        <v>0</v>
      </c>
    </row>
    <row r="83">
      <c r="A83" s="6" t="inlineStr">
        <is>
          <t>E223</t>
        </is>
      </c>
      <c r="B83" s="6" t="n">
        <v>0.05745115860464314</v>
      </c>
      <c r="C83" s="6" t="inlineStr">
        <is>
          <t>A</t>
        </is>
      </c>
      <c r="D83" s="6" t="n">
        <v>0.5913352462215083</v>
      </c>
      <c r="E83" s="6" t="n">
        <v>0.1386199827873743</v>
      </c>
      <c r="F83" s="6" t="n">
        <v>0.2005822153608675</v>
      </c>
      <c r="G83" s="6" t="n">
        <v>82</v>
      </c>
      <c r="H83" s="6" t="n">
        <v>230</v>
      </c>
      <c r="I83" s="6" t="inlineStr">
        <is>
          <t>***科技有限公司</t>
        </is>
      </c>
      <c r="J83" s="6" t="b">
        <v>0</v>
      </c>
    </row>
    <row r="84">
      <c r="A84" s="6" t="inlineStr">
        <is>
          <t>E319</t>
        </is>
      </c>
      <c r="B84" s="6" t="n">
        <v>0.05829492048612162</v>
      </c>
      <c r="C84" s="6" t="inlineStr">
        <is>
          <t>A</t>
        </is>
      </c>
      <c r="D84" s="6" t="n">
        <v>0.6926825611213984</v>
      </c>
      <c r="E84" s="6" t="n">
        <v>0.09744790483498068</v>
      </c>
      <c r="F84" s="6" t="n">
        <v>0.2196441065737019</v>
      </c>
      <c r="G84" s="6" t="n">
        <v>83</v>
      </c>
      <c r="H84" s="6" t="n">
        <v>125</v>
      </c>
      <c r="I84" s="6" t="inlineStr">
        <is>
          <t xml:space="preserve">个体经营E319 </t>
        </is>
      </c>
      <c r="J84" s="6" t="b">
        <v>0</v>
      </c>
    </row>
    <row r="85">
      <c r="A85" s="6" t="inlineStr">
        <is>
          <t>E156</t>
        </is>
      </c>
      <c r="B85" s="6" t="n">
        <v>0.05841739293656563</v>
      </c>
      <c r="C85" s="6" t="inlineStr">
        <is>
          <t>A</t>
        </is>
      </c>
      <c r="D85" s="6" t="n">
        <v>0.6879524022275515</v>
      </c>
      <c r="E85" s="6" t="n">
        <v>0.1008352753262375</v>
      </c>
      <c r="F85" s="6" t="n">
        <v>0.2223054123318314</v>
      </c>
      <c r="G85" s="6" t="n">
        <v>84</v>
      </c>
      <c r="H85" s="6" t="n">
        <v>134</v>
      </c>
      <c r="I85" s="6" t="inlineStr">
        <is>
          <t xml:space="preserve">个体经营E156 </t>
        </is>
      </c>
      <c r="J85" s="6" t="b">
        <v>0</v>
      </c>
    </row>
    <row r="86">
      <c r="A86" s="6" t="inlineStr">
        <is>
          <t>E311</t>
        </is>
      </c>
      <c r="B86" s="6" t="n">
        <v>0.05845153450194475</v>
      </c>
      <c r="C86" s="6" t="inlineStr">
        <is>
          <t>A</t>
        </is>
      </c>
      <c r="D86" s="6" t="n">
        <v>0.7360309034727233</v>
      </c>
      <c r="E86" s="6" t="n">
        <v>0.08176074522474136</v>
      </c>
      <c r="F86" s="6" t="n">
        <v>0.2279753045643021</v>
      </c>
      <c r="G86" s="6" t="n">
        <v>85</v>
      </c>
      <c r="H86" s="6" t="n">
        <v>58</v>
      </c>
      <c r="I86" s="6" t="inlineStr">
        <is>
          <t>***律师事务所</t>
        </is>
      </c>
      <c r="J86" s="6" t="b">
        <v>0</v>
      </c>
    </row>
    <row r="87">
      <c r="A87" s="6" t="inlineStr">
        <is>
          <t>E243</t>
        </is>
      </c>
      <c r="B87" s="6" t="n">
        <v>0.05891627506039259</v>
      </c>
      <c r="C87" s="6" t="inlineStr">
        <is>
          <t>A</t>
        </is>
      </c>
      <c r="D87" s="6" t="n">
        <v>0.7179298474646466</v>
      </c>
      <c r="E87" s="6" t="n">
        <v>0.08938649656346527</v>
      </c>
      <c r="F87" s="6" t="n">
        <v>0.227508062325611</v>
      </c>
      <c r="G87" s="6" t="n">
        <v>86</v>
      </c>
      <c r="H87" s="6" t="n">
        <v>83</v>
      </c>
      <c r="I87" s="6" t="inlineStr">
        <is>
          <t>***科技有限公司</t>
        </is>
      </c>
      <c r="J87" s="6" t="b">
        <v>0</v>
      </c>
    </row>
    <row r="88">
      <c r="A88" s="6" t="inlineStr">
        <is>
          <t>E128</t>
        </is>
      </c>
      <c r="B88" s="6" t="n">
        <v>0.05901277334789417</v>
      </c>
      <c r="C88" s="6" t="inlineStr">
        <is>
          <t>A</t>
        </is>
      </c>
      <c r="D88" s="6" t="n">
        <v>0.7287831794983124</v>
      </c>
      <c r="E88" s="6" t="n">
        <v>0.08757761598635085</v>
      </c>
      <c r="F88" s="6" t="n">
        <v>0.2353286691929856</v>
      </c>
      <c r="G88" s="6" t="n">
        <v>87</v>
      </c>
      <c r="H88" s="6" t="n">
        <v>66</v>
      </c>
      <c r="I88" s="6" t="inlineStr">
        <is>
          <t xml:space="preserve">个体经营E128 </t>
        </is>
      </c>
      <c r="J88" s="6" t="b">
        <v>0</v>
      </c>
    </row>
    <row r="89">
      <c r="A89" s="6" t="inlineStr">
        <is>
          <t>E282</t>
        </is>
      </c>
      <c r="B89" s="6" t="n">
        <v>0.05922469499570951</v>
      </c>
      <c r="C89" s="6" t="inlineStr">
        <is>
          <t>A</t>
        </is>
      </c>
      <c r="D89" s="6" t="n">
        <v>0.7077801851988317</v>
      </c>
      <c r="E89" s="6" t="n">
        <v>0.09105448715707393</v>
      </c>
      <c r="F89" s="6" t="n">
        <v>0.2205413819287683</v>
      </c>
      <c r="G89" s="6" t="n">
        <v>88</v>
      </c>
      <c r="H89" s="6" t="n">
        <v>103</v>
      </c>
      <c r="I89" s="6" t="inlineStr">
        <is>
          <t>***影城有限公司***分公司</t>
        </is>
      </c>
      <c r="J89" s="6" t="b">
        <v>0</v>
      </c>
    </row>
    <row r="90">
      <c r="A90" s="6" t="inlineStr">
        <is>
          <t>E303</t>
        </is>
      </c>
      <c r="B90" s="6" t="n">
        <v>0.05964559097305221</v>
      </c>
      <c r="C90" s="6" t="inlineStr">
        <is>
          <t>A</t>
        </is>
      </c>
      <c r="D90" s="6" t="n">
        <v>0.7006707164134015</v>
      </c>
      <c r="E90" s="6" t="n">
        <v>0.09471250047907143</v>
      </c>
      <c r="F90" s="6" t="n">
        <v>0.2217032519131274</v>
      </c>
      <c r="G90" s="6" t="n">
        <v>89</v>
      </c>
      <c r="H90" s="6" t="n">
        <v>111</v>
      </c>
      <c r="I90" s="6" t="inlineStr">
        <is>
          <t>***图书发行有限公司</t>
        </is>
      </c>
      <c r="J90" s="6" t="b">
        <v>0</v>
      </c>
    </row>
    <row r="91">
      <c r="A91" s="6" t="inlineStr">
        <is>
          <t>E337</t>
        </is>
      </c>
      <c r="B91" s="6" t="n">
        <v>0.06016493852750645</v>
      </c>
      <c r="C91" s="6" t="inlineStr">
        <is>
          <t>A</t>
        </is>
      </c>
      <c r="D91" s="6" t="n">
        <v>0.6771270556947574</v>
      </c>
      <c r="E91" s="6" t="n">
        <v>0.1051576898590214</v>
      </c>
      <c r="F91" s="6" t="n">
        <v>0.2205360287190388</v>
      </c>
      <c r="G91" s="6" t="n">
        <v>90</v>
      </c>
      <c r="H91" s="6" t="n">
        <v>149</v>
      </c>
      <c r="I91" s="6" t="inlineStr">
        <is>
          <t xml:space="preserve">个体经营E337 </t>
        </is>
      </c>
      <c r="J91" s="6" t="b">
        <v>0</v>
      </c>
    </row>
    <row r="92">
      <c r="A92" s="6" t="inlineStr">
        <is>
          <t>E162</t>
        </is>
      </c>
      <c r="B92" s="6" t="n">
        <v>0.06229757610635053</v>
      </c>
      <c r="C92" s="6" t="inlineStr">
        <is>
          <t>A</t>
        </is>
      </c>
      <c r="D92" s="6" t="n">
        <v>0.7173986531058466</v>
      </c>
      <c r="E92" s="6" t="n">
        <v>0.08445963245302493</v>
      </c>
      <c r="F92" s="6" t="n">
        <v>0.2144053000083861</v>
      </c>
      <c r="G92" s="6" t="n">
        <v>91</v>
      </c>
      <c r="H92" s="6" t="n">
        <v>87</v>
      </c>
      <c r="I92" s="6" t="inlineStr">
        <is>
          <t>***网络信息安全有限公司</t>
        </is>
      </c>
      <c r="J92" s="6" t="b">
        <v>0</v>
      </c>
    </row>
    <row r="93">
      <c r="A93" s="6" t="inlineStr">
        <is>
          <t>E186</t>
        </is>
      </c>
      <c r="B93" s="6" t="n">
        <v>0.06234306837328336</v>
      </c>
      <c r="C93" s="6" t="inlineStr">
        <is>
          <t>A</t>
        </is>
      </c>
      <c r="D93" s="6" t="n">
        <v>0.7125172825653469</v>
      </c>
      <c r="E93" s="6" t="n">
        <v>0.09195985040992104</v>
      </c>
      <c r="F93" s="6" t="n">
        <v>0.2279197278496804</v>
      </c>
      <c r="G93" s="6" t="n">
        <v>92</v>
      </c>
      <c r="H93" s="6" t="n">
        <v>96</v>
      </c>
      <c r="I93" s="6" t="inlineStr">
        <is>
          <t>***建筑劳务有限公司</t>
        </is>
      </c>
      <c r="J93" s="6" t="b">
        <v>0</v>
      </c>
    </row>
    <row r="94">
      <c r="A94" s="6" t="inlineStr">
        <is>
          <t>E261</t>
        </is>
      </c>
      <c r="B94" s="6" t="n">
        <v>0.0626494562819971</v>
      </c>
      <c r="C94" s="6" t="inlineStr">
        <is>
          <t>A</t>
        </is>
      </c>
      <c r="D94" s="6" t="n">
        <v>0.7501136912505376</v>
      </c>
      <c r="E94" s="6" t="n">
        <v>0.07524613014637724</v>
      </c>
      <c r="F94" s="6" t="n">
        <v>0.2258753299405758</v>
      </c>
      <c r="G94" s="6" t="n">
        <v>93</v>
      </c>
      <c r="H94" s="6" t="n">
        <v>34</v>
      </c>
      <c r="I94" s="6" t="inlineStr">
        <is>
          <t>***医疗器械有限公司</t>
        </is>
      </c>
      <c r="J94" s="6" t="b">
        <v>0</v>
      </c>
    </row>
    <row r="95">
      <c r="A95" s="6" t="inlineStr">
        <is>
          <t>E214</t>
        </is>
      </c>
      <c r="B95" s="6" t="n">
        <v>0.06275395466605262</v>
      </c>
      <c r="C95" s="6" t="inlineStr">
        <is>
          <t>A</t>
        </is>
      </c>
      <c r="D95" s="6" t="n">
        <v>0.7284573384227904</v>
      </c>
      <c r="E95" s="6" t="n">
        <v>0.08262600513676857</v>
      </c>
      <c r="F95" s="6" t="n">
        <v>0.2216576925218217</v>
      </c>
      <c r="G95" s="6" t="n">
        <v>94</v>
      </c>
      <c r="H95" s="6" t="n">
        <v>68</v>
      </c>
      <c r="I95" s="6" t="inlineStr">
        <is>
          <t>***建筑工程有限公司</t>
        </is>
      </c>
      <c r="J95" s="6" t="b">
        <v>0</v>
      </c>
    </row>
    <row r="96">
      <c r="A96" s="6" t="inlineStr">
        <is>
          <t>E294</t>
        </is>
      </c>
      <c r="B96" s="6" t="n">
        <v>0.06419764808635216</v>
      </c>
      <c r="C96" s="6" t="inlineStr">
        <is>
          <t>A</t>
        </is>
      </c>
      <c r="D96" s="6" t="n">
        <v>0.712983072900771</v>
      </c>
      <c r="E96" s="6" t="n">
        <v>0.09066071050058266</v>
      </c>
      <c r="F96" s="6" t="n">
        <v>0.2252116368792601</v>
      </c>
      <c r="G96" s="6" t="n">
        <v>95</v>
      </c>
      <c r="H96" s="6" t="n">
        <v>95</v>
      </c>
      <c r="I96" s="6" t="inlineStr">
        <is>
          <t xml:space="preserve">个体经营E294 </t>
        </is>
      </c>
      <c r="J96" s="6" t="b">
        <v>0</v>
      </c>
    </row>
    <row r="97">
      <c r="A97" s="6" t="inlineStr">
        <is>
          <t>E280</t>
        </is>
      </c>
      <c r="B97" s="6" t="n">
        <v>0.06428560242731637</v>
      </c>
      <c r="C97" s="6" t="inlineStr">
        <is>
          <t>A</t>
        </is>
      </c>
      <c r="D97" s="6" t="n">
        <v>0.7176672024052323</v>
      </c>
      <c r="E97" s="6" t="n">
        <v>0.08676149412665901</v>
      </c>
      <c r="F97" s="6" t="n">
        <v>0.2205407210810399</v>
      </c>
      <c r="G97" s="6" t="n">
        <v>96</v>
      </c>
      <c r="H97" s="6" t="n">
        <v>85</v>
      </c>
      <c r="I97" s="6" t="inlineStr">
        <is>
          <t xml:space="preserve">个体经营E280 </t>
        </is>
      </c>
      <c r="J97" s="6" t="b">
        <v>0</v>
      </c>
    </row>
    <row r="98">
      <c r="A98" s="6" t="inlineStr">
        <is>
          <t>E227</t>
        </is>
      </c>
      <c r="B98" s="6" t="n">
        <v>0.06473128235250024</v>
      </c>
      <c r="C98" s="6" t="inlineStr">
        <is>
          <t>A</t>
        </is>
      </c>
      <c r="D98" s="6" t="n">
        <v>0.7259524106018431</v>
      </c>
      <c r="E98" s="6" t="n">
        <v>0.08278254283160419</v>
      </c>
      <c r="F98" s="6" t="n">
        <v>0.2192910605648171</v>
      </c>
      <c r="G98" s="6" t="n">
        <v>97</v>
      </c>
      <c r="H98" s="6" t="n">
        <v>70</v>
      </c>
      <c r="I98" s="6" t="inlineStr">
        <is>
          <t>***安全技术有限公司</t>
        </is>
      </c>
      <c r="J98" s="6" t="b">
        <v>0</v>
      </c>
    </row>
    <row r="99">
      <c r="A99" s="6" t="inlineStr">
        <is>
          <t>E254</t>
        </is>
      </c>
      <c r="B99" s="6" t="n">
        <v>0.06498419368311333</v>
      </c>
      <c r="C99" s="6" t="inlineStr">
        <is>
          <t>A</t>
        </is>
      </c>
      <c r="D99" s="6" t="n">
        <v>0.684405275443544</v>
      </c>
      <c r="E99" s="6" t="n">
        <v>0.1014645092814604</v>
      </c>
      <c r="F99" s="6" t="n">
        <v>0.2200380425246921</v>
      </c>
      <c r="G99" s="6" t="n">
        <v>98</v>
      </c>
      <c r="H99" s="6" t="n">
        <v>141</v>
      </c>
      <c r="I99" s="6" t="inlineStr">
        <is>
          <t>***设备安装工程有限公司</t>
        </is>
      </c>
      <c r="J99" s="6" t="b">
        <v>0</v>
      </c>
    </row>
    <row r="100">
      <c r="A100" s="6" t="inlineStr">
        <is>
          <t>E277</t>
        </is>
      </c>
      <c r="B100" s="6" t="n">
        <v>0.06512788130018408</v>
      </c>
      <c r="C100" s="6" t="inlineStr">
        <is>
          <t>A</t>
        </is>
      </c>
      <c r="D100" s="6" t="n">
        <v>0.6964810215736015</v>
      </c>
      <c r="E100" s="6" t="n">
        <v>0.0963325987966865</v>
      </c>
      <c r="F100" s="6" t="n">
        <v>0.2210531518279537</v>
      </c>
      <c r="G100" s="6" t="n">
        <v>99</v>
      </c>
      <c r="H100" s="6" t="n">
        <v>119</v>
      </c>
      <c r="I100" s="6" t="inlineStr">
        <is>
          <t>***消防设备制造有限公司</t>
        </is>
      </c>
      <c r="J100" s="6" t="b">
        <v>0</v>
      </c>
    </row>
    <row r="101">
      <c r="A101" s="6" t="inlineStr">
        <is>
          <t>E149</t>
        </is>
      </c>
      <c r="B101" s="6" t="n">
        <v>0.06518580868969882</v>
      </c>
      <c r="C101" s="6" t="inlineStr">
        <is>
          <t>A</t>
        </is>
      </c>
      <c r="D101" s="6" t="n">
        <v>0.7197965511349722</v>
      </c>
      <c r="E101" s="6" t="n">
        <v>0.08932789239128239</v>
      </c>
      <c r="F101" s="6" t="n">
        <v>0.2294686561633753</v>
      </c>
      <c r="G101" s="6" t="n">
        <v>100</v>
      </c>
      <c r="H101" s="6" t="n">
        <v>82</v>
      </c>
      <c r="I101" s="6" t="inlineStr">
        <is>
          <t>***建筑劳务有限公司</t>
        </is>
      </c>
      <c r="J101" s="6" t="b">
        <v>0</v>
      </c>
    </row>
    <row r="102">
      <c r="A102" s="6" t="inlineStr">
        <is>
          <t>E229</t>
        </is>
      </c>
      <c r="B102" s="6" t="n">
        <v>0.06579781080501923</v>
      </c>
      <c r="C102" s="6" t="inlineStr">
        <is>
          <t>A</t>
        </is>
      </c>
      <c r="D102" s="6" t="n">
        <v>0.5765201547764007</v>
      </c>
      <c r="E102" s="6" t="n">
        <v>0.1436832417765132</v>
      </c>
      <c r="F102" s="6" t="n">
        <v>0.1956085648988382</v>
      </c>
      <c r="G102" s="6" t="n">
        <v>101</v>
      </c>
      <c r="H102" s="6" t="n">
        <v>245</v>
      </c>
      <c r="I102" s="6" t="inlineStr">
        <is>
          <t>***家贸易有限公司</t>
        </is>
      </c>
      <c r="J102" s="6" t="b">
        <v>0</v>
      </c>
    </row>
    <row r="103">
      <c r="A103" s="6" t="inlineStr">
        <is>
          <t>E260</t>
        </is>
      </c>
      <c r="B103" s="6" t="n">
        <v>0.06648884188868563</v>
      </c>
      <c r="C103" s="6" t="inlineStr">
        <is>
          <t>A</t>
        </is>
      </c>
      <c r="D103" s="6" t="n">
        <v>0.745330106838118</v>
      </c>
      <c r="E103" s="6" t="n">
        <v>0.07544776254148441</v>
      </c>
      <c r="F103" s="6" t="n">
        <v>0.2208093317100363</v>
      </c>
      <c r="G103" s="6" t="n">
        <v>102</v>
      </c>
      <c r="H103" s="6" t="n">
        <v>44</v>
      </c>
      <c r="I103" s="6" t="inlineStr">
        <is>
          <t>***广告有限公司</t>
        </is>
      </c>
      <c r="J103" s="6" t="b">
        <v>0</v>
      </c>
    </row>
    <row r="104">
      <c r="A104" s="6" t="inlineStr">
        <is>
          <t>E163</t>
        </is>
      </c>
      <c r="B104" s="6" t="n">
        <v>0.06733057128439231</v>
      </c>
      <c r="C104" s="6" t="inlineStr">
        <is>
          <t>A</t>
        </is>
      </c>
      <c r="D104" s="6" t="n">
        <v>0.7091214895155092</v>
      </c>
      <c r="E104" s="6" t="n">
        <v>0.0916167232276875</v>
      </c>
      <c r="F104" s="6" t="n">
        <v>0.223348872116876</v>
      </c>
      <c r="G104" s="6" t="n">
        <v>103</v>
      </c>
      <c r="H104" s="6" t="n">
        <v>101</v>
      </c>
      <c r="I104" s="6" t="inlineStr">
        <is>
          <t>***物流有限公司</t>
        </is>
      </c>
      <c r="J104" s="6" t="b">
        <v>0</v>
      </c>
    </row>
    <row r="105">
      <c r="A105" s="6" t="inlineStr">
        <is>
          <t>E137</t>
        </is>
      </c>
      <c r="B105" s="6" t="n">
        <v>0.06739484647581304</v>
      </c>
      <c r="C105" s="6" t="inlineStr">
        <is>
          <t>A</t>
        </is>
      </c>
      <c r="D105" s="6" t="n">
        <v>0.7255405065864141</v>
      </c>
      <c r="E105" s="6" t="n">
        <v>0.08437083047412897</v>
      </c>
      <c r="F105" s="6" t="n">
        <v>0.2230363917165412</v>
      </c>
      <c r="G105" s="6" t="n">
        <v>104</v>
      </c>
      <c r="H105" s="6" t="n">
        <v>73</v>
      </c>
      <c r="I105" s="6" t="inlineStr">
        <is>
          <t>***建设工程有限公司</t>
        </is>
      </c>
      <c r="J105" s="6" t="b">
        <v>0</v>
      </c>
    </row>
    <row r="106">
      <c r="A106" s="6" t="inlineStr">
        <is>
          <t>E151</t>
        </is>
      </c>
      <c r="B106" s="6" t="n">
        <v>0.06745514201961816</v>
      </c>
      <c r="C106" s="6" t="inlineStr">
        <is>
          <t>A</t>
        </is>
      </c>
      <c r="D106" s="6" t="n">
        <v>0.6986737929679271</v>
      </c>
      <c r="E106" s="6" t="n">
        <v>0.09628846588023819</v>
      </c>
      <c r="F106" s="6" t="n">
        <v>0.2232604602773507</v>
      </c>
      <c r="G106" s="6" t="n">
        <v>105</v>
      </c>
      <c r="H106" s="6" t="n">
        <v>114</v>
      </c>
      <c r="I106" s="6" t="inlineStr">
        <is>
          <t>***路桥工程有限公司</t>
        </is>
      </c>
      <c r="J106" s="6" t="b">
        <v>0</v>
      </c>
    </row>
    <row r="107">
      <c r="A107" s="6" t="inlineStr">
        <is>
          <t>E284</t>
        </is>
      </c>
      <c r="B107" s="6" t="n">
        <v>0.06791363529966732</v>
      </c>
      <c r="C107" s="6" t="inlineStr">
        <is>
          <t>A</t>
        </is>
      </c>
      <c r="D107" s="6" t="n">
        <v>0.7159075445442463</v>
      </c>
      <c r="E107" s="6" t="n">
        <v>0.08758906314780301</v>
      </c>
      <c r="F107" s="6" t="n">
        <v>0.2207227609282315</v>
      </c>
      <c r="G107" s="6" t="n">
        <v>106</v>
      </c>
      <c r="H107" s="6" t="n">
        <v>88</v>
      </c>
      <c r="I107" s="6" t="inlineStr">
        <is>
          <t>***成焊科技有限公司</t>
        </is>
      </c>
      <c r="J107" s="6" t="b">
        <v>0</v>
      </c>
    </row>
    <row r="108">
      <c r="A108" s="6" t="inlineStr">
        <is>
          <t>E202</t>
        </is>
      </c>
      <c r="B108" s="6" t="n">
        <v>0.06991740527255513</v>
      </c>
      <c r="C108" s="6" t="inlineStr">
        <is>
          <t>A</t>
        </is>
      </c>
      <c r="D108" s="6" t="n">
        <v>0.6792725182896309</v>
      </c>
      <c r="E108" s="6" t="n">
        <v>0.1074010330506843</v>
      </c>
      <c r="F108" s="6" t="n">
        <v>0.2274659152941789</v>
      </c>
      <c r="G108" s="6" t="n">
        <v>107</v>
      </c>
      <c r="H108" s="6" t="n">
        <v>147</v>
      </c>
      <c r="I108" s="6" t="inlineStr">
        <is>
          <t xml:space="preserve">个体经营E202 </t>
        </is>
      </c>
      <c r="J108" s="6" t="b">
        <v>0</v>
      </c>
    </row>
    <row r="109">
      <c r="A109" s="6" t="inlineStr">
        <is>
          <t>E183</t>
        </is>
      </c>
      <c r="B109" s="6" t="n">
        <v>0.07061357423686805</v>
      </c>
      <c r="C109" s="6" t="inlineStr">
        <is>
          <t>A</t>
        </is>
      </c>
      <c r="D109" s="6" t="n">
        <v>0.7176970168959137</v>
      </c>
      <c r="E109" s="6" t="n">
        <v>0.08798545760422559</v>
      </c>
      <c r="F109" s="6" t="n">
        <v>0.2236848500800009</v>
      </c>
      <c r="G109" s="6" t="n">
        <v>108</v>
      </c>
      <c r="H109" s="6" t="n">
        <v>84</v>
      </c>
      <c r="I109" s="6" t="inlineStr">
        <is>
          <t>***建设工程有限公司</t>
        </is>
      </c>
      <c r="J109" s="6" t="b">
        <v>0</v>
      </c>
    </row>
    <row r="110">
      <c r="A110" s="6" t="inlineStr">
        <is>
          <t>E208</t>
        </is>
      </c>
      <c r="B110" s="6" t="n">
        <v>0.07103184395003137</v>
      </c>
      <c r="C110" s="6" t="inlineStr">
        <is>
          <t>A</t>
        </is>
      </c>
      <c r="D110" s="6" t="n">
        <v>0.5751387462361444</v>
      </c>
      <c r="E110" s="6" t="n">
        <v>0.1409030264635907</v>
      </c>
      <c r="F110" s="6" t="n">
        <v>0.1907417757284839</v>
      </c>
      <c r="G110" s="6" t="n">
        <v>109</v>
      </c>
      <c r="H110" s="6" t="n">
        <v>246</v>
      </c>
      <c r="I110" s="6" t="inlineStr">
        <is>
          <t xml:space="preserve">个体经营E208 </t>
        </is>
      </c>
      <c r="J110" s="6" t="b">
        <v>0</v>
      </c>
    </row>
    <row r="111">
      <c r="A111" s="6" t="inlineStr">
        <is>
          <t>E290</t>
        </is>
      </c>
      <c r="B111" s="6" t="n">
        <v>0.07133833113971774</v>
      </c>
      <c r="C111" s="6" t="inlineStr">
        <is>
          <t>A</t>
        </is>
      </c>
      <c r="D111" s="6" t="n">
        <v>0.7206930733757143</v>
      </c>
      <c r="E111" s="6" t="n">
        <v>0.08648294744077412</v>
      </c>
      <c r="F111" s="6" t="n">
        <v>0.223151147517093</v>
      </c>
      <c r="G111" s="6" t="n">
        <v>110</v>
      </c>
      <c r="H111" s="6" t="n">
        <v>80</v>
      </c>
      <c r="I111" s="6" t="inlineStr">
        <is>
          <t>***机电有限公司</t>
        </is>
      </c>
      <c r="J111" s="6" t="b">
        <v>0</v>
      </c>
    </row>
    <row r="112">
      <c r="A112" s="6" t="inlineStr">
        <is>
          <t>E201</t>
        </is>
      </c>
      <c r="B112" s="6" t="n">
        <v>0.07157928789912314</v>
      </c>
      <c r="C112" s="6" t="inlineStr">
        <is>
          <t>A</t>
        </is>
      </c>
      <c r="D112" s="6" t="n">
        <v>0.7362653473171996</v>
      </c>
      <c r="E112" s="6" t="n">
        <v>0.0781962013419487</v>
      </c>
      <c r="F112" s="6" t="n">
        <v>0.2182995399135512</v>
      </c>
      <c r="G112" s="6" t="n">
        <v>111</v>
      </c>
      <c r="H112" s="6" t="n">
        <v>57</v>
      </c>
      <c r="I112" s="6" t="inlineStr">
        <is>
          <t>***物流有限责任公司</t>
        </is>
      </c>
      <c r="J112" s="6" t="b">
        <v>0</v>
      </c>
    </row>
    <row r="113">
      <c r="A113" s="6" t="inlineStr">
        <is>
          <t>E266</t>
        </is>
      </c>
      <c r="B113" s="6" t="n">
        <v>0.07222526767498058</v>
      </c>
      <c r="C113" s="6" t="inlineStr">
        <is>
          <t>A</t>
        </is>
      </c>
      <c r="D113" s="6" t="n">
        <v>0.6838951620686941</v>
      </c>
      <c r="E113" s="6" t="n">
        <v>0.1026179972751995</v>
      </c>
      <c r="F113" s="6" t="n">
        <v>0.2220147984351271</v>
      </c>
      <c r="G113" s="6" t="n">
        <v>112</v>
      </c>
      <c r="H113" s="6" t="n">
        <v>142</v>
      </c>
      <c r="I113" s="6" t="inlineStr">
        <is>
          <t>***煤矿机械有限公司</t>
        </is>
      </c>
      <c r="J113" s="6" t="b">
        <v>0</v>
      </c>
    </row>
    <row r="114">
      <c r="A114" s="6" t="inlineStr">
        <is>
          <t>E153</t>
        </is>
      </c>
      <c r="B114" s="6" t="n">
        <v>0.07227790348963145</v>
      </c>
      <c r="C114" s="6" t="inlineStr">
        <is>
          <t>A</t>
        </is>
      </c>
      <c r="D114" s="6" t="n">
        <v>0.6457118808078597</v>
      </c>
      <c r="E114" s="6" t="n">
        <v>0.1212034979219187</v>
      </c>
      <c r="F114" s="6" t="n">
        <v>0.2209008272196949</v>
      </c>
      <c r="G114" s="6" t="n">
        <v>113</v>
      </c>
      <c r="H114" s="6" t="n">
        <v>183</v>
      </c>
      <c r="I114" s="6" t="inlineStr">
        <is>
          <t xml:space="preserve">个体经营E153 </t>
        </is>
      </c>
      <c r="J114" s="6" t="b">
        <v>0</v>
      </c>
    </row>
    <row r="115">
      <c r="A115" s="6" t="inlineStr">
        <is>
          <t>E301</t>
        </is>
      </c>
      <c r="B115" s="6" t="n">
        <v>0.07341740344769296</v>
      </c>
      <c r="C115" s="6" t="inlineStr">
        <is>
          <t>A</t>
        </is>
      </c>
      <c r="D115" s="6" t="n">
        <v>0.7442782744877131</v>
      </c>
      <c r="E115" s="6" t="n">
        <v>0.07823231232390586</v>
      </c>
      <c r="F115" s="6" t="n">
        <v>0.2276952038743492</v>
      </c>
      <c r="G115" s="6" t="n">
        <v>114</v>
      </c>
      <c r="H115" s="6" t="n">
        <v>46</v>
      </c>
      <c r="I115" s="6" t="inlineStr">
        <is>
          <t>***企业管理咨询有限公司</t>
        </is>
      </c>
      <c r="J115" s="6" t="b">
        <v>0</v>
      </c>
    </row>
    <row r="116">
      <c r="A116" s="6" t="inlineStr">
        <is>
          <t>E207</t>
        </is>
      </c>
      <c r="B116" s="6" t="n">
        <v>0.07354209956783396</v>
      </c>
      <c r="C116" s="6" t="inlineStr">
        <is>
          <t>A</t>
        </is>
      </c>
      <c r="D116" s="6" t="n">
        <v>0.6981432293234361</v>
      </c>
      <c r="E116" s="6" t="n">
        <v>0.09557850522168454</v>
      </c>
      <c r="F116" s="6" t="n">
        <v>0.2210567817969254</v>
      </c>
      <c r="G116" s="6" t="n">
        <v>115</v>
      </c>
      <c r="H116" s="6" t="n">
        <v>115</v>
      </c>
      <c r="I116" s="6" t="inlineStr">
        <is>
          <t xml:space="preserve">个体经营E207 </t>
        </is>
      </c>
      <c r="J116" s="6" t="b">
        <v>0</v>
      </c>
    </row>
    <row r="117">
      <c r="A117" s="6" t="inlineStr">
        <is>
          <t>E355</t>
        </is>
      </c>
      <c r="B117" s="6" t="n">
        <v>0.07410554189409346</v>
      </c>
      <c r="C117" s="6" t="inlineStr">
        <is>
          <t>A</t>
        </is>
      </c>
      <c r="D117" s="6" t="n">
        <v>0.6104941230916799</v>
      </c>
      <c r="E117" s="6" t="n">
        <v>0.131565911782264</v>
      </c>
      <c r="F117" s="6" t="n">
        <v>0.2062105367441631</v>
      </c>
      <c r="G117" s="6" t="n">
        <v>116</v>
      </c>
      <c r="H117" s="6" t="n">
        <v>215</v>
      </c>
      <c r="I117" s="6" t="inlineStr">
        <is>
          <t>***地毯经营部</t>
        </is>
      </c>
      <c r="J117" s="6" t="b">
        <v>0</v>
      </c>
    </row>
    <row r="118">
      <c r="A118" s="6" t="inlineStr">
        <is>
          <t>E375</t>
        </is>
      </c>
      <c r="B118" s="6" t="n">
        <v>0.07511267615900649</v>
      </c>
      <c r="C118" s="6" t="inlineStr">
        <is>
          <t>A</t>
        </is>
      </c>
      <c r="D118" s="6" t="n">
        <v>0.6296604072074845</v>
      </c>
      <c r="E118" s="6" t="n">
        <v>0.1261722112926249</v>
      </c>
      <c r="F118" s="6" t="n">
        <v>0.2145210706252863</v>
      </c>
      <c r="G118" s="6" t="n">
        <v>117</v>
      </c>
      <c r="H118" s="6" t="n">
        <v>195</v>
      </c>
      <c r="I118" s="6" t="inlineStr">
        <is>
          <t>***电器经营部</t>
        </is>
      </c>
      <c r="J118" s="6" t="b">
        <v>0</v>
      </c>
    </row>
    <row r="119">
      <c r="A119" s="6" t="inlineStr">
        <is>
          <t>E179</t>
        </is>
      </c>
      <c r="B119" s="6" t="n">
        <v>0.07626215655777439</v>
      </c>
      <c r="C119" s="6" t="inlineStr">
        <is>
          <t>A</t>
        </is>
      </c>
      <c r="D119" s="6" t="n">
        <v>0.7221881501111391</v>
      </c>
      <c r="E119" s="6" t="n">
        <v>0.08458668486694629</v>
      </c>
      <c r="F119" s="6" t="n">
        <v>0.2198880339068761</v>
      </c>
      <c r="G119" s="6" t="n">
        <v>118</v>
      </c>
      <c r="H119" s="6" t="n">
        <v>77</v>
      </c>
      <c r="I119" s="6" t="inlineStr">
        <is>
          <t>***园林有限公司</t>
        </is>
      </c>
      <c r="J119" s="6" t="b">
        <v>0</v>
      </c>
    </row>
    <row r="120">
      <c r="A120" s="6" t="inlineStr">
        <is>
          <t>E255</t>
        </is>
      </c>
      <c r="B120" s="6" t="n">
        <v>0.07645970487161602</v>
      </c>
      <c r="C120" s="6" t="inlineStr">
        <is>
          <t>A</t>
        </is>
      </c>
      <c r="D120" s="6" t="n">
        <v>0.7051106666370375</v>
      </c>
      <c r="E120" s="6" t="n">
        <v>0.09276856450163928</v>
      </c>
      <c r="F120" s="6" t="n">
        <v>0.2218191604719721</v>
      </c>
      <c r="G120" s="6" t="n">
        <v>119</v>
      </c>
      <c r="H120" s="6" t="n">
        <v>106</v>
      </c>
      <c r="I120" s="6" t="inlineStr">
        <is>
          <t xml:space="preserve">个体经营E255 </t>
        </is>
      </c>
      <c r="J120" s="6" t="b">
        <v>0</v>
      </c>
    </row>
    <row r="121">
      <c r="A121" s="6" t="inlineStr">
        <is>
          <t>E230</t>
        </is>
      </c>
      <c r="B121" s="6" t="n">
        <v>0.07750003743600138</v>
      </c>
      <c r="C121" s="6" t="inlineStr">
        <is>
          <t>A</t>
        </is>
      </c>
      <c r="D121" s="6" t="n">
        <v>0.6910856851950999</v>
      </c>
      <c r="E121" s="6" t="n">
        <v>0.09784525793293332</v>
      </c>
      <c r="F121" s="6" t="n">
        <v>0.2188938934875151</v>
      </c>
      <c r="G121" s="6" t="n">
        <v>120</v>
      </c>
      <c r="H121" s="6" t="n">
        <v>127</v>
      </c>
      <c r="I121" s="6" t="inlineStr">
        <is>
          <t>***建筑劳务有限公司</t>
        </is>
      </c>
      <c r="J121" s="6" t="b">
        <v>0</v>
      </c>
    </row>
    <row r="122">
      <c r="A122" s="6" t="inlineStr">
        <is>
          <t>E299</t>
        </is>
      </c>
      <c r="B122" s="6" t="n">
        <v>0.07855446675716138</v>
      </c>
      <c r="C122" s="6" t="inlineStr">
        <is>
          <t>A</t>
        </is>
      </c>
      <c r="D122" s="6" t="n">
        <v>0.5568083616278211</v>
      </c>
      <c r="E122" s="6" t="n">
        <v>0.1470129170018833</v>
      </c>
      <c r="F122" s="6" t="n">
        <v>0.1847011864993798</v>
      </c>
      <c r="G122" s="6" t="n">
        <v>121</v>
      </c>
      <c r="H122" s="6" t="n">
        <v>258</v>
      </c>
      <c r="I122" s="6" t="inlineStr">
        <is>
          <t>***压缩天然气有限责任公司</t>
        </is>
      </c>
      <c r="J122" s="6" t="b">
        <v>0</v>
      </c>
    </row>
    <row r="123">
      <c r="A123" s="6" t="inlineStr">
        <is>
          <t>E272</t>
        </is>
      </c>
      <c r="B123" s="6" t="n">
        <v>0.07873356003893284</v>
      </c>
      <c r="C123" s="6" t="inlineStr">
        <is>
          <t>A</t>
        </is>
      </c>
      <c r="D123" s="6" t="n">
        <v>0.7235562706786804</v>
      </c>
      <c r="E123" s="6" t="n">
        <v>0.08387306449994764</v>
      </c>
      <c r="F123" s="6" t="n">
        <v>0.2195270694291504</v>
      </c>
      <c r="G123" s="6" t="n">
        <v>122</v>
      </c>
      <c r="H123" s="6" t="n">
        <v>75</v>
      </c>
      <c r="I123" s="6" t="inlineStr">
        <is>
          <t xml:space="preserve">个体经营E272 </t>
        </is>
      </c>
      <c r="J123" s="6" t="b">
        <v>0</v>
      </c>
    </row>
    <row r="124">
      <c r="A124" s="6" t="inlineStr">
        <is>
          <t>E325</t>
        </is>
      </c>
      <c r="B124" s="6" t="n">
        <v>0.07903087431271154</v>
      </c>
      <c r="C124" s="6" t="inlineStr">
        <is>
          <t>A</t>
        </is>
      </c>
      <c r="D124" s="6" t="n">
        <v>0.5151649699472735</v>
      </c>
      <c r="E124" s="6" t="n">
        <v>0.1733547080637416</v>
      </c>
      <c r="F124" s="6" t="n">
        <v>0.1841992996260267</v>
      </c>
      <c r="G124" s="6" t="n">
        <v>123</v>
      </c>
      <c r="H124" s="6" t="n">
        <v>275</v>
      </c>
      <c r="I124" s="6" t="inlineStr">
        <is>
          <t>***通讯器材有限公司</t>
        </is>
      </c>
      <c r="J124" s="6" t="b">
        <v>0</v>
      </c>
    </row>
    <row r="125">
      <c r="A125" s="6" t="inlineStr">
        <is>
          <t>E130</t>
        </is>
      </c>
      <c r="B125" s="6" t="n">
        <v>0.08029362147351433</v>
      </c>
      <c r="C125" s="6" t="inlineStr">
        <is>
          <t>A</t>
        </is>
      </c>
      <c r="D125" s="6" t="n">
        <v>0.7372128972356311</v>
      </c>
      <c r="E125" s="6" t="n">
        <v>0.08115993255154584</v>
      </c>
      <c r="F125" s="6" t="n">
        <v>0.2276829737318681</v>
      </c>
      <c r="G125" s="6" t="n">
        <v>124</v>
      </c>
      <c r="H125" s="6" t="n">
        <v>56</v>
      </c>
      <c r="I125" s="6" t="inlineStr">
        <is>
          <t xml:space="preserve">个体经营E130 </t>
        </is>
      </c>
      <c r="J125" s="6" t="b">
        <v>0</v>
      </c>
    </row>
    <row r="126">
      <c r="A126" s="6" t="inlineStr">
        <is>
          <t>E200</t>
        </is>
      </c>
      <c r="B126" s="6" t="n">
        <v>0.08029406675352031</v>
      </c>
      <c r="C126" s="6" t="inlineStr">
        <is>
          <t>A</t>
        </is>
      </c>
      <c r="D126" s="6" t="n">
        <v>0.5828973320339979</v>
      </c>
      <c r="E126" s="6" t="n">
        <v>0.1356488589342813</v>
      </c>
      <c r="F126" s="6" t="n">
        <v>0.1895680944737894</v>
      </c>
      <c r="G126" s="6" t="n">
        <v>125</v>
      </c>
      <c r="H126" s="6" t="n">
        <v>239</v>
      </c>
      <c r="I126" s="6" t="inlineStr">
        <is>
          <t xml:space="preserve">个体经营E200 </t>
        </is>
      </c>
      <c r="J126" s="6" t="b">
        <v>0</v>
      </c>
    </row>
    <row r="127">
      <c r="A127" s="6" t="inlineStr">
        <is>
          <t>E267</t>
        </is>
      </c>
      <c r="B127" s="6" t="n">
        <v>0.0812758504830791</v>
      </c>
      <c r="C127" s="6" t="inlineStr">
        <is>
          <t>A</t>
        </is>
      </c>
      <c r="D127" s="6" t="n">
        <v>0.6593870146966868</v>
      </c>
      <c r="E127" s="6" t="n">
        <v>0.1126989317511542</v>
      </c>
      <c r="F127" s="6" t="n">
        <v>0.2181719880724006</v>
      </c>
      <c r="G127" s="6" t="n">
        <v>126</v>
      </c>
      <c r="H127" s="6" t="n">
        <v>171</v>
      </c>
      <c r="I127" s="6" t="inlineStr">
        <is>
          <t>***林园艺场</t>
        </is>
      </c>
      <c r="J127" s="6" t="b">
        <v>0</v>
      </c>
    </row>
    <row r="128">
      <c r="A128" s="6" t="inlineStr">
        <is>
          <t>E189</t>
        </is>
      </c>
      <c r="B128" s="6" t="n">
        <v>0.08212730951722058</v>
      </c>
      <c r="C128" s="6" t="inlineStr">
        <is>
          <t>A</t>
        </is>
      </c>
      <c r="D128" s="6" t="n">
        <v>0.734351571830108</v>
      </c>
      <c r="E128" s="6" t="n">
        <v>0.08138145327437948</v>
      </c>
      <c r="F128" s="6" t="n">
        <v>0.2249687624413071</v>
      </c>
      <c r="G128" s="6" t="n">
        <v>127</v>
      </c>
      <c r="H128" s="6" t="n">
        <v>60</v>
      </c>
      <c r="I128" s="6" t="inlineStr">
        <is>
          <t>***石油工程技术服务有限公司</t>
        </is>
      </c>
      <c r="J128" s="6" t="b">
        <v>0</v>
      </c>
    </row>
    <row r="129">
      <c r="A129" s="6" t="inlineStr">
        <is>
          <t>E157</t>
        </is>
      </c>
      <c r="B129" s="6" t="n">
        <v>0.08218957594489196</v>
      </c>
      <c r="C129" s="6" t="inlineStr">
        <is>
          <t>A</t>
        </is>
      </c>
      <c r="D129" s="6" t="n">
        <v>0.7219186218019298</v>
      </c>
      <c r="E129" s="6" t="n">
        <v>0.08294902989091733</v>
      </c>
      <c r="F129" s="6" t="n">
        <v>0.2153414576937453</v>
      </c>
      <c r="G129" s="6" t="n">
        <v>128</v>
      </c>
      <c r="H129" s="6" t="n">
        <v>79</v>
      </c>
      <c r="I129" s="6" t="inlineStr">
        <is>
          <t>***环境设备工程有限公司</t>
        </is>
      </c>
      <c r="J129" s="6" t="b">
        <v>0</v>
      </c>
    </row>
    <row r="130">
      <c r="A130" s="6" t="inlineStr">
        <is>
          <t>E313</t>
        </is>
      </c>
      <c r="B130" s="6" t="n">
        <v>0.08312880115407734</v>
      </c>
      <c r="C130" s="6" t="inlineStr">
        <is>
          <t>A</t>
        </is>
      </c>
      <c r="D130" s="6" t="n">
        <v>0.6873550737174859</v>
      </c>
      <c r="E130" s="6" t="n">
        <v>0.09893691335451082</v>
      </c>
      <c r="F130" s="6" t="n">
        <v>0.2175144505966471</v>
      </c>
      <c r="G130" s="6" t="n">
        <v>129</v>
      </c>
      <c r="H130" s="6" t="n">
        <v>136</v>
      </c>
      <c r="I130" s="6" t="inlineStr">
        <is>
          <t>***物流有限公司</t>
        </is>
      </c>
      <c r="J130" s="6" t="b">
        <v>0</v>
      </c>
    </row>
    <row r="131">
      <c r="A131" s="6" t="inlineStr">
        <is>
          <t>E216</t>
        </is>
      </c>
      <c r="B131" s="6" t="n">
        <v>0.0839071417167673</v>
      </c>
      <c r="C131" s="6" t="inlineStr">
        <is>
          <t>A</t>
        </is>
      </c>
      <c r="D131" s="6" t="n">
        <v>0.7315201841816268</v>
      </c>
      <c r="E131" s="6" t="n">
        <v>0.08183728561071284</v>
      </c>
      <c r="F131" s="6" t="n">
        <v>0.2229799884970577</v>
      </c>
      <c r="G131" s="6" t="n">
        <v>130</v>
      </c>
      <c r="H131" s="6" t="n">
        <v>64</v>
      </c>
      <c r="I131" s="6" t="inlineStr">
        <is>
          <t>***建设工程有限公司</t>
        </is>
      </c>
      <c r="J131" s="6" t="b">
        <v>0</v>
      </c>
    </row>
    <row r="132">
      <c r="A132" s="6" t="inlineStr">
        <is>
          <t>E275</t>
        </is>
      </c>
      <c r="B132" s="6" t="n">
        <v>0.08408826471369693</v>
      </c>
      <c r="C132" s="6" t="inlineStr">
        <is>
          <t>A</t>
        </is>
      </c>
      <c r="D132" s="6" t="n">
        <v>0.6905105509516224</v>
      </c>
      <c r="E132" s="6" t="n">
        <v>0.09719265836235709</v>
      </c>
      <c r="F132" s="6" t="n">
        <v>0.2168492537648782</v>
      </c>
      <c r="G132" s="6" t="n">
        <v>131</v>
      </c>
      <c r="H132" s="6" t="n">
        <v>129</v>
      </c>
      <c r="I132" s="6" t="inlineStr">
        <is>
          <t>***网络工程有限公司</t>
        </is>
      </c>
      <c r="J132" s="6" t="b">
        <v>0</v>
      </c>
    </row>
    <row r="133">
      <c r="A133" s="6" t="inlineStr">
        <is>
          <t>E262</t>
        </is>
      </c>
      <c r="B133" s="6" t="n">
        <v>0.08449449199347288</v>
      </c>
      <c r="C133" s="6" t="inlineStr">
        <is>
          <t>A</t>
        </is>
      </c>
      <c r="D133" s="6" t="n">
        <v>0.7033598360989164</v>
      </c>
      <c r="E133" s="6" t="n">
        <v>0.090111861250496</v>
      </c>
      <c r="F133" s="6" t="n">
        <v>0.2136631234496349</v>
      </c>
      <c r="G133" s="6" t="n">
        <v>132</v>
      </c>
      <c r="H133" s="6" t="n">
        <v>109</v>
      </c>
      <c r="I133" s="6" t="inlineStr">
        <is>
          <t xml:space="preserve">个体经营E262 </t>
        </is>
      </c>
      <c r="J133" s="6" t="b">
        <v>0</v>
      </c>
    </row>
    <row r="134">
      <c r="A134" s="6" t="inlineStr">
        <is>
          <t>E283</t>
        </is>
      </c>
      <c r="B134" s="6" t="n">
        <v>0.08553334989410248</v>
      </c>
      <c r="C134" s="6" t="inlineStr">
        <is>
          <t>A</t>
        </is>
      </c>
      <c r="D134" s="6" t="n">
        <v>0.6952809402681484</v>
      </c>
      <c r="E134" s="6" t="n">
        <v>0.09599927539131266</v>
      </c>
      <c r="F134" s="6" t="n">
        <v>0.2190426372340106</v>
      </c>
      <c r="G134" s="6" t="n">
        <v>133</v>
      </c>
      <c r="H134" s="6" t="n">
        <v>120</v>
      </c>
      <c r="I134" s="6" t="inlineStr">
        <is>
          <t>***机械铸造有限责任公司</t>
        </is>
      </c>
      <c r="J134" s="6" t="b">
        <v>0</v>
      </c>
    </row>
    <row r="135">
      <c r="A135" s="6" t="inlineStr">
        <is>
          <t>E222</t>
        </is>
      </c>
      <c r="B135" s="6" t="n">
        <v>0.08617036862511536</v>
      </c>
      <c r="C135" s="6" t="inlineStr">
        <is>
          <t>A</t>
        </is>
      </c>
      <c r="D135" s="6" t="n">
        <v>0.7155304113618917</v>
      </c>
      <c r="E135" s="6" t="n">
        <v>0.08573404320633729</v>
      </c>
      <c r="F135" s="6" t="n">
        <v>0.2156480609995537</v>
      </c>
      <c r="G135" s="6" t="n">
        <v>134</v>
      </c>
      <c r="H135" s="6" t="n">
        <v>89</v>
      </c>
      <c r="I135" s="6" t="inlineStr">
        <is>
          <t>***数码科技有限公司</t>
        </is>
      </c>
      <c r="J135" s="6" t="b">
        <v>0</v>
      </c>
    </row>
    <row r="136">
      <c r="A136" s="6" t="inlineStr">
        <is>
          <t>E321</t>
        </is>
      </c>
      <c r="B136" s="6" t="n">
        <v>0.08640942252276627</v>
      </c>
      <c r="C136" s="6" t="inlineStr">
        <is>
          <t>A</t>
        </is>
      </c>
      <c r="D136" s="6" t="n">
        <v>0.6918613554756503</v>
      </c>
      <c r="E136" s="6" t="n">
        <v>0.09646370128275941</v>
      </c>
      <c r="F136" s="6" t="n">
        <v>0.216589214983758</v>
      </c>
      <c r="G136" s="6" t="n">
        <v>135</v>
      </c>
      <c r="H136" s="6" t="n">
        <v>126</v>
      </c>
      <c r="I136" s="6" t="inlineStr">
        <is>
          <t>***生物流有限公司</t>
        </is>
      </c>
      <c r="J136" s="6" t="b">
        <v>0</v>
      </c>
    </row>
    <row r="137">
      <c r="A137" s="6" t="inlineStr">
        <is>
          <t>E226</t>
        </is>
      </c>
      <c r="B137" s="6" t="n">
        <v>0.08665727531729453</v>
      </c>
      <c r="C137" s="6" t="inlineStr">
        <is>
          <t>A</t>
        </is>
      </c>
      <c r="D137" s="6" t="n">
        <v>0.5576019473632704</v>
      </c>
      <c r="E137" s="6" t="n">
        <v>0.1431353836909505</v>
      </c>
      <c r="F137" s="6" t="n">
        <v>0.1804089511854161</v>
      </c>
      <c r="G137" s="6" t="n">
        <v>136</v>
      </c>
      <c r="H137" s="6" t="n">
        <v>257</v>
      </c>
      <c r="I137" s="6" t="inlineStr">
        <is>
          <t>***建设工程有限公司</t>
        </is>
      </c>
      <c r="J137" s="6" t="b">
        <v>0</v>
      </c>
    </row>
    <row r="138">
      <c r="A138" s="6" t="inlineStr">
        <is>
          <t>E318</t>
        </is>
      </c>
      <c r="B138" s="6" t="n">
        <v>0.08675758471507838</v>
      </c>
      <c r="C138" s="6" t="inlineStr">
        <is>
          <t>A</t>
        </is>
      </c>
      <c r="D138" s="6" t="n">
        <v>0.6716053901945357</v>
      </c>
      <c r="E138" s="6" t="n">
        <v>0.1075525164877154</v>
      </c>
      <c r="F138" s="6" t="n">
        <v>0.219957476905379</v>
      </c>
      <c r="G138" s="6" t="n">
        <v>137</v>
      </c>
      <c r="H138" s="6" t="n">
        <v>157</v>
      </c>
      <c r="I138" s="6" t="inlineStr">
        <is>
          <t>***商贸有限公司</t>
        </is>
      </c>
      <c r="J138" s="6" t="b">
        <v>0</v>
      </c>
    </row>
    <row r="139">
      <c r="A139" s="6" t="inlineStr">
        <is>
          <t>E236</t>
        </is>
      </c>
      <c r="B139" s="6" t="n">
        <v>0.08760953142571443</v>
      </c>
      <c r="C139" s="6" t="inlineStr">
        <is>
          <t>A</t>
        </is>
      </c>
      <c r="D139" s="6" t="n">
        <v>0.6655636852232807</v>
      </c>
      <c r="E139" s="6" t="n">
        <v>0.1073471035364826</v>
      </c>
      <c r="F139" s="6" t="n">
        <v>0.2136321047416347</v>
      </c>
      <c r="G139" s="6" t="n">
        <v>138</v>
      </c>
      <c r="H139" s="6" t="n">
        <v>162</v>
      </c>
      <c r="I139" s="6" t="inlineStr">
        <is>
          <t xml:space="preserve">个体经营E236 </t>
        </is>
      </c>
      <c r="J139" s="6" t="b">
        <v>0</v>
      </c>
    </row>
    <row r="140">
      <c r="A140" s="6" t="inlineStr">
        <is>
          <t>E184</t>
        </is>
      </c>
      <c r="B140" s="6" t="n">
        <v>0.08809074929248138</v>
      </c>
      <c r="C140" s="6" t="inlineStr">
        <is>
          <t>A</t>
        </is>
      </c>
      <c r="D140" s="6" t="n">
        <v>0.7198826990655484</v>
      </c>
      <c r="E140" s="6" t="n">
        <v>0.08451458372574307</v>
      </c>
      <c r="F140" s="6" t="n">
        <v>0.2171968187610308</v>
      </c>
      <c r="G140" s="6" t="n">
        <v>139</v>
      </c>
      <c r="H140" s="6" t="n">
        <v>81</v>
      </c>
      <c r="I140" s="6" t="inlineStr">
        <is>
          <t>***建筑装饰工程有限公司</t>
        </is>
      </c>
      <c r="J140" s="6" t="b">
        <v>0</v>
      </c>
    </row>
    <row r="141">
      <c r="A141" s="6" t="inlineStr">
        <is>
          <t>E253</t>
        </is>
      </c>
      <c r="B141" s="6" t="n">
        <v>0.08818313451599233</v>
      </c>
      <c r="C141" s="6" t="inlineStr">
        <is>
          <t>A</t>
        </is>
      </c>
      <c r="D141" s="6" t="n">
        <v>0.7256158707570259</v>
      </c>
      <c r="E141" s="6" t="n">
        <v>0.08224850445323213</v>
      </c>
      <c r="F141" s="6" t="n">
        <v>0.2175082806062966</v>
      </c>
      <c r="G141" s="6" t="n">
        <v>140</v>
      </c>
      <c r="H141" s="6" t="n">
        <v>72</v>
      </c>
      <c r="I141" s="6" t="inlineStr">
        <is>
          <t>***钢结构工程有限公司</t>
        </is>
      </c>
      <c r="J141" s="6" t="b">
        <v>0</v>
      </c>
    </row>
    <row r="142">
      <c r="A142" s="6" t="inlineStr">
        <is>
          <t>E257</t>
        </is>
      </c>
      <c r="B142" s="6" t="n">
        <v>0.08834009078566551</v>
      </c>
      <c r="C142" s="6" t="inlineStr">
        <is>
          <t>A</t>
        </is>
      </c>
      <c r="D142" s="6" t="n">
        <v>0.6883357645184629</v>
      </c>
      <c r="E142" s="6" t="n">
        <v>0.09711879450970375</v>
      </c>
      <c r="F142" s="6" t="n">
        <v>0.2144947416397048</v>
      </c>
      <c r="G142" s="6" t="n">
        <v>141</v>
      </c>
      <c r="H142" s="6" t="n">
        <v>133</v>
      </c>
      <c r="I142" s="6" t="inlineStr">
        <is>
          <t>***门窗安装有限公司</t>
        </is>
      </c>
      <c r="J142" s="6" t="b">
        <v>0</v>
      </c>
    </row>
    <row r="143">
      <c r="A143" s="6" t="inlineStr">
        <is>
          <t>E306</t>
        </is>
      </c>
      <c r="B143" s="6" t="n">
        <v>0.09012594697542184</v>
      </c>
      <c r="C143" s="6" t="inlineStr">
        <is>
          <t>A</t>
        </is>
      </c>
      <c r="D143" s="6" t="n">
        <v>0.7143784306049258</v>
      </c>
      <c r="E143" s="6" t="n">
        <v>0.0864698961505819</v>
      </c>
      <c r="F143" s="6" t="n">
        <v>0.2162729825953016</v>
      </c>
      <c r="G143" s="6" t="n">
        <v>142</v>
      </c>
      <c r="H143" s="6" t="n">
        <v>92</v>
      </c>
      <c r="I143" s="6" t="inlineStr">
        <is>
          <t xml:space="preserve">个体经营E306 </t>
        </is>
      </c>
      <c r="J143" s="6" t="b">
        <v>0</v>
      </c>
    </row>
    <row r="144">
      <c r="A144" s="6" t="inlineStr">
        <is>
          <t>E302</t>
        </is>
      </c>
      <c r="B144" s="6" t="n">
        <v>0.09103888375758722</v>
      </c>
      <c r="C144" s="6" t="inlineStr">
        <is>
          <t>A</t>
        </is>
      </c>
      <c r="D144" s="6" t="n">
        <v>0.7005950718901413</v>
      </c>
      <c r="E144" s="6" t="n">
        <v>0.09240237251143567</v>
      </c>
      <c r="F144" s="6" t="n">
        <v>0.2162177063054737</v>
      </c>
      <c r="G144" s="6" t="n">
        <v>143</v>
      </c>
      <c r="H144" s="6" t="n">
        <v>112</v>
      </c>
      <c r="I144" s="6" t="inlineStr">
        <is>
          <t>***机电设备有限公司</t>
        </is>
      </c>
      <c r="J144" s="6" t="b">
        <v>0</v>
      </c>
    </row>
    <row r="145">
      <c r="A145" s="6" t="inlineStr">
        <is>
          <t>E270</t>
        </is>
      </c>
      <c r="B145" s="6" t="n">
        <v>0.09123439248227305</v>
      </c>
      <c r="C145" s="6" t="inlineStr">
        <is>
          <t>A</t>
        </is>
      </c>
      <c r="D145" s="6" t="n">
        <v>0.7107382203111313</v>
      </c>
      <c r="E145" s="6" t="n">
        <v>0.08993011074320308</v>
      </c>
      <c r="F145" s="6" t="n">
        <v>0.2209651303769073</v>
      </c>
      <c r="G145" s="6" t="n">
        <v>144</v>
      </c>
      <c r="H145" s="6" t="n">
        <v>98</v>
      </c>
      <c r="I145" s="6" t="inlineStr">
        <is>
          <t xml:space="preserve">个体经营E270 </t>
        </is>
      </c>
      <c r="J145" s="6" t="b">
        <v>0</v>
      </c>
    </row>
    <row r="146">
      <c r="A146" s="6" t="inlineStr">
        <is>
          <t>E177</t>
        </is>
      </c>
      <c r="B146" s="6" t="n">
        <v>0.09138638763806459</v>
      </c>
      <c r="C146" s="6" t="inlineStr">
        <is>
          <t>A</t>
        </is>
      </c>
      <c r="D146" s="6" t="n">
        <v>0.7149472440280257</v>
      </c>
      <c r="E146" s="6" t="n">
        <v>0.08678538486394603</v>
      </c>
      <c r="F146" s="6" t="n">
        <v>0.2176683804330243</v>
      </c>
      <c r="G146" s="6" t="n">
        <v>145</v>
      </c>
      <c r="H146" s="6" t="n">
        <v>90</v>
      </c>
      <c r="I146" s="6" t="inlineStr">
        <is>
          <t>***电力工程有限公司</t>
        </is>
      </c>
      <c r="J146" s="6" t="b">
        <v>0</v>
      </c>
    </row>
    <row r="147">
      <c r="A147" s="6" t="inlineStr">
        <is>
          <t>E136</t>
        </is>
      </c>
      <c r="B147" s="6" t="n">
        <v>0.09170187932586274</v>
      </c>
      <c r="C147" s="6" t="inlineStr">
        <is>
          <t>A</t>
        </is>
      </c>
      <c r="D147" s="6" t="n">
        <v>0.6716802344202775</v>
      </c>
      <c r="E147" s="6" t="n">
        <v>0.1047964912248871</v>
      </c>
      <c r="F147" s="6" t="n">
        <v>0.2143938293451988</v>
      </c>
      <c r="G147" s="6" t="n">
        <v>146</v>
      </c>
      <c r="H147" s="6" t="n">
        <v>156</v>
      </c>
      <c r="I147" s="6" t="inlineStr">
        <is>
          <t>***机械有限责任公司</t>
        </is>
      </c>
      <c r="J147" s="6" t="b">
        <v>0</v>
      </c>
    </row>
    <row r="148">
      <c r="A148" s="6" t="inlineStr">
        <is>
          <t>E356</t>
        </is>
      </c>
      <c r="B148" s="6" t="n">
        <v>0.09357228838394595</v>
      </c>
      <c r="C148" s="6" t="inlineStr">
        <is>
          <t>A</t>
        </is>
      </c>
      <c r="D148" s="6" t="n">
        <v>0.6097420678639773</v>
      </c>
      <c r="E148" s="6" t="n">
        <v>0.1364812261049647</v>
      </c>
      <c r="F148" s="6" t="n">
        <v>0.2132393429503615</v>
      </c>
      <c r="G148" s="6" t="n">
        <v>147</v>
      </c>
      <c r="H148" s="6" t="n">
        <v>216</v>
      </c>
      <c r="I148" s="6" t="inlineStr">
        <is>
          <t>***建材装饰部</t>
        </is>
      </c>
      <c r="J148" s="6" t="b">
        <v>0</v>
      </c>
    </row>
    <row r="149">
      <c r="A149" s="6" t="inlineStr">
        <is>
          <t>E343</t>
        </is>
      </c>
      <c r="B149" s="6" t="n">
        <v>0.0952238164860376</v>
      </c>
      <c r="C149" s="6" t="inlineStr">
        <is>
          <t>A</t>
        </is>
      </c>
      <c r="D149" s="6" t="n">
        <v>0.6383869439433519</v>
      </c>
      <c r="E149" s="6" t="n">
        <v>0.1217579736291258</v>
      </c>
      <c r="F149" s="6" t="n">
        <v>0.2149499288921039</v>
      </c>
      <c r="G149" s="6" t="n">
        <v>148</v>
      </c>
      <c r="H149" s="6" t="n">
        <v>190</v>
      </c>
      <c r="I149" s="6" t="inlineStr">
        <is>
          <t>***五金工具经营部</t>
        </is>
      </c>
      <c r="J149" s="6" t="b">
        <v>0</v>
      </c>
    </row>
    <row r="150">
      <c r="A150" s="6" t="inlineStr">
        <is>
          <t>E198</t>
        </is>
      </c>
      <c r="B150" s="6" t="n">
        <v>0.09581515650913408</v>
      </c>
      <c r="C150" s="6" t="inlineStr">
        <is>
          <t>A</t>
        </is>
      </c>
      <c r="D150" s="6" t="n">
        <v>0.5772985890763472</v>
      </c>
      <c r="E150" s="6" t="n">
        <v>0.1370895545935406</v>
      </c>
      <c r="F150" s="6" t="n">
        <v>0.1872281577462021</v>
      </c>
      <c r="G150" s="6" t="n">
        <v>149</v>
      </c>
      <c r="H150" s="6" t="n">
        <v>242</v>
      </c>
      <c r="I150" s="6" t="inlineStr">
        <is>
          <t>***商贸有限公司</t>
        </is>
      </c>
      <c r="J150" s="6" t="b">
        <v>0</v>
      </c>
    </row>
    <row r="151">
      <c r="A151" s="6" t="inlineStr">
        <is>
          <t>E359</t>
        </is>
      </c>
      <c r="B151" s="6" t="n">
        <v>0.09635976003299715</v>
      </c>
      <c r="C151" s="6" t="inlineStr">
        <is>
          <t>A</t>
        </is>
      </c>
      <c r="D151" s="6" t="n">
        <v>0.6312960867564903</v>
      </c>
      <c r="E151" s="6" t="n">
        <v>0.1247521967337085</v>
      </c>
      <c r="F151" s="6" t="n">
        <v>0.2136011330052036</v>
      </c>
      <c r="G151" s="6" t="n">
        <v>150</v>
      </c>
      <c r="H151" s="6" t="n">
        <v>194</v>
      </c>
      <c r="I151" s="6" t="inlineStr">
        <is>
          <t>***厨房用品经营部</t>
        </is>
      </c>
      <c r="J151" s="6" t="b">
        <v>0</v>
      </c>
    </row>
    <row r="152">
      <c r="A152" s="6" t="inlineStr">
        <is>
          <t>E252</t>
        </is>
      </c>
      <c r="B152" s="6" t="n">
        <v>0.09665008872534764</v>
      </c>
      <c r="C152" s="6" t="inlineStr">
        <is>
          <t>A</t>
        </is>
      </c>
      <c r="D152" s="6" t="n">
        <v>0.6887808196973327</v>
      </c>
      <c r="E152" s="6" t="n">
        <v>0.0974517369432302</v>
      </c>
      <c r="F152" s="6" t="n">
        <v>0.2156772188250367</v>
      </c>
      <c r="G152" s="6" t="n">
        <v>151</v>
      </c>
      <c r="H152" s="6" t="n">
        <v>132</v>
      </c>
      <c r="I152" s="6" t="inlineStr">
        <is>
          <t>***印务有限公司</t>
        </is>
      </c>
      <c r="J152" s="6" t="b">
        <v>0</v>
      </c>
    </row>
    <row r="153">
      <c r="A153" s="6" t="inlineStr">
        <is>
          <t>E265</t>
        </is>
      </c>
      <c r="B153" s="6" t="n">
        <v>0.09731178251939726</v>
      </c>
      <c r="C153" s="6" t="inlineStr">
        <is>
          <t>A</t>
        </is>
      </c>
      <c r="D153" s="6" t="n">
        <v>0.7051209823363566</v>
      </c>
      <c r="E153" s="6" t="n">
        <v>0.08902711265805391</v>
      </c>
      <c r="F153" s="6" t="n">
        <v>0.2128835263674855</v>
      </c>
      <c r="G153" s="6" t="n">
        <v>152</v>
      </c>
      <c r="H153" s="6" t="n">
        <v>105</v>
      </c>
      <c r="I153" s="6" t="inlineStr">
        <is>
          <t>***净化工程有限公司</t>
        </is>
      </c>
      <c r="J153" s="6" t="b">
        <v>0</v>
      </c>
    </row>
    <row r="154">
      <c r="A154" s="6" t="inlineStr">
        <is>
          <t>E166</t>
        </is>
      </c>
      <c r="B154" s="6" t="n">
        <v>0.09803989634220391</v>
      </c>
      <c r="C154" s="6" t="inlineStr">
        <is>
          <t>A</t>
        </is>
      </c>
      <c r="D154" s="6" t="n">
        <v>0.6718540957220263</v>
      </c>
      <c r="E154" s="6" t="n">
        <v>0.104701657562703</v>
      </c>
      <c r="F154" s="6" t="n">
        <v>0.214368780915206</v>
      </c>
      <c r="G154" s="6" t="n">
        <v>153</v>
      </c>
      <c r="H154" s="6" t="n">
        <v>155</v>
      </c>
      <c r="I154" s="6" t="inlineStr">
        <is>
          <t>***建筑工程有限公司</t>
        </is>
      </c>
      <c r="J154" s="6" t="b">
        <v>0</v>
      </c>
    </row>
    <row r="155">
      <c r="A155" s="6" t="inlineStr">
        <is>
          <t>E279</t>
        </is>
      </c>
      <c r="B155" s="6" t="n">
        <v>0.09811454891362099</v>
      </c>
      <c r="C155" s="6" t="inlineStr">
        <is>
          <t>A</t>
        </is>
      </c>
      <c r="D155" s="6" t="n">
        <v>0.6621713443769497</v>
      </c>
      <c r="E155" s="6" t="n">
        <v>0.1090451552568259</v>
      </c>
      <c r="F155" s="6" t="n">
        <v>0.2137372773219506</v>
      </c>
      <c r="G155" s="6" t="n">
        <v>154</v>
      </c>
      <c r="H155" s="6" t="n">
        <v>165</v>
      </c>
      <c r="I155" s="6" t="inlineStr">
        <is>
          <t>***环保包装有限公司</t>
        </is>
      </c>
      <c r="J155" s="6" t="b">
        <v>0</v>
      </c>
    </row>
    <row r="156">
      <c r="A156" s="6" t="inlineStr">
        <is>
          <t>E391</t>
        </is>
      </c>
      <c r="B156" s="6" t="n">
        <v>0.09827321937343407</v>
      </c>
      <c r="C156" s="6" t="inlineStr">
        <is>
          <t>A</t>
        </is>
      </c>
      <c r="D156" s="6" t="n">
        <v>0.6242313258748582</v>
      </c>
      <c r="E156" s="6" t="n">
        <v>0.1278046787785807</v>
      </c>
      <c r="F156" s="6" t="n">
        <v>0.2123106303970268</v>
      </c>
      <c r="G156" s="6" t="n">
        <v>155</v>
      </c>
      <c r="H156" s="6" t="n">
        <v>202</v>
      </c>
      <c r="I156" s="6" t="inlineStr">
        <is>
          <t>***五金店</t>
        </is>
      </c>
      <c r="J156" s="6" t="b">
        <v>0</v>
      </c>
    </row>
    <row r="157">
      <c r="A157" s="6" t="inlineStr">
        <is>
          <t>E364</t>
        </is>
      </c>
      <c r="B157" s="6" t="n">
        <v>0.09878174102230207</v>
      </c>
      <c r="C157" s="6" t="inlineStr">
        <is>
          <t>A</t>
        </is>
      </c>
      <c r="D157" s="6" t="n">
        <v>0.6455972896524241</v>
      </c>
      <c r="E157" s="6" t="n">
        <v>0.1144561870960214</v>
      </c>
      <c r="F157" s="6" t="n">
        <v>0.2084989815700704</v>
      </c>
      <c r="G157" s="6" t="n">
        <v>156</v>
      </c>
      <c r="H157" s="6" t="n">
        <v>184</v>
      </c>
      <c r="I157" s="6" t="inlineStr">
        <is>
          <t>***电子有限公司</t>
        </is>
      </c>
      <c r="J157" s="6" t="b">
        <v>0</v>
      </c>
    </row>
    <row r="158">
      <c r="A158" s="6" t="inlineStr">
        <is>
          <t>E292</t>
        </is>
      </c>
      <c r="B158" s="6" t="n">
        <v>0.09920954109816084</v>
      </c>
      <c r="C158" s="6" t="inlineStr">
        <is>
          <t>A</t>
        </is>
      </c>
      <c r="D158" s="6" t="n">
        <v>0.697788737960824</v>
      </c>
      <c r="E158" s="6" t="n">
        <v>0.09375108972744836</v>
      </c>
      <c r="F158" s="6" t="n">
        <v>0.2164659719891176</v>
      </c>
      <c r="G158" s="6" t="n">
        <v>157</v>
      </c>
      <c r="H158" s="6" t="n">
        <v>116</v>
      </c>
      <c r="I158" s="6" t="inlineStr">
        <is>
          <t>***物流有限公司</t>
        </is>
      </c>
      <c r="J158" s="6" t="b">
        <v>0</v>
      </c>
    </row>
    <row r="159">
      <c r="A159" s="6" t="inlineStr">
        <is>
          <t>E199</t>
        </is>
      </c>
      <c r="B159" s="6" t="n">
        <v>0.100240777155699</v>
      </c>
      <c r="C159" s="6" t="inlineStr">
        <is>
          <t>B</t>
        </is>
      </c>
      <c r="D159" s="6" t="n">
        <v>0.6763229408362659</v>
      </c>
      <c r="E159" s="6" t="n">
        <v>0.1050703979765089</v>
      </c>
      <c r="F159" s="6" t="n">
        <v>0.2195445075344757</v>
      </c>
      <c r="G159" s="6" t="n">
        <v>158</v>
      </c>
      <c r="H159" s="6" t="n">
        <v>152</v>
      </c>
      <c r="I159" s="6" t="inlineStr">
        <is>
          <t>***建筑劳务有限公司</t>
        </is>
      </c>
      <c r="J159" s="6" t="b">
        <v>0</v>
      </c>
    </row>
    <row r="160">
      <c r="A160" s="6" t="inlineStr">
        <is>
          <t>E372</t>
        </is>
      </c>
      <c r="B160" s="6" t="n">
        <v>0.1013828929444995</v>
      </c>
      <c r="C160" s="6" t="inlineStr">
        <is>
          <t>B</t>
        </is>
      </c>
      <c r="D160" s="6" t="n">
        <v>0.666958267486683</v>
      </c>
      <c r="E160" s="6" t="n">
        <v>0.1076278424436312</v>
      </c>
      <c r="F160" s="6" t="n">
        <v>0.2155383915037243</v>
      </c>
      <c r="G160" s="6" t="n">
        <v>159</v>
      </c>
      <c r="H160" s="6" t="n">
        <v>161</v>
      </c>
      <c r="I160" s="6" t="inlineStr">
        <is>
          <t>***汽车维修有限责任公司</t>
        </is>
      </c>
      <c r="J160" s="6" t="b">
        <v>0</v>
      </c>
    </row>
    <row r="161">
      <c r="A161" s="6" t="inlineStr">
        <is>
          <t>E328</t>
        </is>
      </c>
      <c r="B161" s="6" t="n">
        <v>0.1019278853812011</v>
      </c>
      <c r="C161" s="6" t="inlineStr">
        <is>
          <t>B</t>
        </is>
      </c>
      <c r="D161" s="6" t="n">
        <v>0.7115928459058473</v>
      </c>
      <c r="E161" s="6" t="n">
        <v>0.08801817644001897</v>
      </c>
      <c r="F161" s="6" t="n">
        <v>0.2171690395861298</v>
      </c>
      <c r="G161" s="6" t="n">
        <v>160</v>
      </c>
      <c r="H161" s="6" t="n">
        <v>97</v>
      </c>
      <c r="I161" s="6" t="inlineStr">
        <is>
          <t>***科技有限公司</t>
        </is>
      </c>
      <c r="J161" s="6" t="b">
        <v>0</v>
      </c>
    </row>
    <row r="162">
      <c r="A162" s="6" t="inlineStr">
        <is>
          <t>E281</t>
        </is>
      </c>
      <c r="B162" s="6" t="n">
        <v>0.1034118615928119</v>
      </c>
      <c r="C162" s="6" t="inlineStr">
        <is>
          <t>B</t>
        </is>
      </c>
      <c r="D162" s="6" t="n">
        <v>0.5584096913876592</v>
      </c>
      <c r="E162" s="6" t="n">
        <v>0.1482553490040815</v>
      </c>
      <c r="F162" s="6" t="n">
        <v>0.1874751824696754</v>
      </c>
      <c r="G162" s="6" t="n">
        <v>161</v>
      </c>
      <c r="H162" s="6" t="n">
        <v>256</v>
      </c>
      <c r="I162" s="6" t="inlineStr">
        <is>
          <t>***商业管理有限责任公司</t>
        </is>
      </c>
      <c r="J162" s="6" t="b">
        <v>0</v>
      </c>
    </row>
    <row r="163">
      <c r="A163" s="6" t="inlineStr">
        <is>
          <t>E370</t>
        </is>
      </c>
      <c r="B163" s="6" t="n">
        <v>0.1039986128194368</v>
      </c>
      <c r="C163" s="6" t="inlineStr">
        <is>
          <t>B</t>
        </is>
      </c>
      <c r="D163" s="6" t="n">
        <v>0.6177248610515309</v>
      </c>
      <c r="E163" s="6" t="n">
        <v>0.1288895075781636</v>
      </c>
      <c r="F163" s="6" t="n">
        <v>0.2082747347335447</v>
      </c>
      <c r="G163" s="6" t="n">
        <v>162</v>
      </c>
      <c r="H163" s="6" t="n">
        <v>208</v>
      </c>
      <c r="I163" s="6" t="inlineStr">
        <is>
          <t>***设计服务部</t>
        </is>
      </c>
      <c r="J163" s="6" t="b">
        <v>0</v>
      </c>
    </row>
    <row r="164">
      <c r="A164" s="6" t="inlineStr">
        <is>
          <t>E244</t>
        </is>
      </c>
      <c r="B164" s="6" t="n">
        <v>0.1052108908451778</v>
      </c>
      <c r="C164" s="6" t="inlineStr">
        <is>
          <t>B</t>
        </is>
      </c>
      <c r="D164" s="6" t="n">
        <v>0.6909231420617113</v>
      </c>
      <c r="E164" s="6" t="n">
        <v>0.09775772138223134</v>
      </c>
      <c r="F164" s="6" t="n">
        <v>0.2185316379516532</v>
      </c>
      <c r="G164" s="6" t="n">
        <v>163</v>
      </c>
      <c r="H164" s="6" t="n">
        <v>128</v>
      </c>
      <c r="I164" s="6" t="inlineStr">
        <is>
          <t xml:space="preserve">个体经营E244 </t>
        </is>
      </c>
      <c r="J164" s="6" t="b">
        <v>0</v>
      </c>
    </row>
    <row r="165">
      <c r="A165" s="6" t="inlineStr">
        <is>
          <t>E203</t>
        </is>
      </c>
      <c r="B165" s="6" t="n">
        <v>0.1061140196247997</v>
      </c>
      <c r="C165" s="6" t="inlineStr">
        <is>
          <t>B</t>
        </is>
      </c>
      <c r="D165" s="6" t="n">
        <v>0.7104630432956722</v>
      </c>
      <c r="E165" s="6" t="n">
        <v>0.08902963725616066</v>
      </c>
      <c r="F165" s="6" t="n">
        <v>0.2184600810497371</v>
      </c>
      <c r="G165" s="6" t="n">
        <v>164</v>
      </c>
      <c r="H165" s="6" t="n">
        <v>99</v>
      </c>
      <c r="I165" s="6" t="inlineStr">
        <is>
          <t>***建设工程有限公司</t>
        </is>
      </c>
      <c r="J165" s="6" t="b">
        <v>0</v>
      </c>
    </row>
    <row r="166">
      <c r="A166" s="6" t="inlineStr">
        <is>
          <t>E322</t>
        </is>
      </c>
      <c r="B166" s="6" t="n">
        <v>0.1068278980962532</v>
      </c>
      <c r="C166" s="6" t="inlineStr">
        <is>
          <t>B</t>
        </is>
      </c>
      <c r="D166" s="6" t="n">
        <v>0.6818790815618381</v>
      </c>
      <c r="E166" s="6" t="n">
        <v>0.0978045152681844</v>
      </c>
      <c r="F166" s="6" t="n">
        <v>0.209639948768833</v>
      </c>
      <c r="G166" s="6" t="n">
        <v>165</v>
      </c>
      <c r="H166" s="6" t="n">
        <v>145</v>
      </c>
      <c r="I166" s="6" t="inlineStr">
        <is>
          <t>***装饰工程设计有限公司</t>
        </is>
      </c>
      <c r="J166" s="6" t="b">
        <v>0</v>
      </c>
    </row>
    <row r="167">
      <c r="A167" s="6" t="inlineStr">
        <is>
          <t>E247</t>
        </is>
      </c>
      <c r="B167" s="6" t="n">
        <v>0.107024228170221</v>
      </c>
      <c r="C167" s="6" t="inlineStr">
        <is>
          <t>B</t>
        </is>
      </c>
      <c r="D167" s="6" t="n">
        <v>0.7002557475849602</v>
      </c>
      <c r="E167" s="6" t="n">
        <v>0.09383791634397931</v>
      </c>
      <c r="F167" s="6" t="n">
        <v>0.2192220192108383</v>
      </c>
      <c r="G167" s="6" t="n">
        <v>166</v>
      </c>
      <c r="H167" s="6" t="n">
        <v>113</v>
      </c>
      <c r="I167" s="6" t="inlineStr">
        <is>
          <t>***石化有限公司</t>
        </is>
      </c>
      <c r="J167" s="6" t="b">
        <v>0</v>
      </c>
    </row>
    <row r="168">
      <c r="A168" s="6" t="inlineStr">
        <is>
          <t>E305</t>
        </is>
      </c>
      <c r="B168" s="6" t="n">
        <v>0.107049958923362</v>
      </c>
      <c r="C168" s="6" t="inlineStr">
        <is>
          <t>B</t>
        </is>
      </c>
      <c r="D168" s="6" t="n">
        <v>0.6473580933102445</v>
      </c>
      <c r="E168" s="6" t="n">
        <v>0.115622999698419</v>
      </c>
      <c r="F168" s="6" t="n">
        <v>0.212253516124021</v>
      </c>
      <c r="G168" s="6" t="n">
        <v>167</v>
      </c>
      <c r="H168" s="6" t="n">
        <v>181</v>
      </c>
      <c r="I168" s="6" t="inlineStr">
        <is>
          <t>***劳务有限公司</t>
        </is>
      </c>
      <c r="J168" s="6" t="b">
        <v>0</v>
      </c>
    </row>
    <row r="169">
      <c r="A169" s="6" t="inlineStr">
        <is>
          <t>E274</t>
        </is>
      </c>
      <c r="B169" s="6" t="n">
        <v>0.1077046326917194</v>
      </c>
      <c r="C169" s="6" t="inlineStr">
        <is>
          <t>B</t>
        </is>
      </c>
      <c r="D169" s="6" t="n">
        <v>0.672780634906239</v>
      </c>
      <c r="E169" s="6" t="n">
        <v>0.1037372295582863</v>
      </c>
      <c r="F169" s="6" t="n">
        <v>0.2132893300665133</v>
      </c>
      <c r="G169" s="6" t="n">
        <v>168</v>
      </c>
      <c r="H169" s="6" t="n">
        <v>154</v>
      </c>
      <c r="I169" s="6" t="inlineStr">
        <is>
          <t>***建筑劳务有限公司</t>
        </is>
      </c>
      <c r="J169" s="6" t="b">
        <v>0</v>
      </c>
    </row>
    <row r="170">
      <c r="A170" s="6" t="inlineStr">
        <is>
          <t>E287</t>
        </is>
      </c>
      <c r="B170" s="6" t="n">
        <v>0.1092861382156753</v>
      </c>
      <c r="C170" s="6" t="inlineStr">
        <is>
          <t>B</t>
        </is>
      </c>
      <c r="D170" s="6" t="n">
        <v>0.6698556344255819</v>
      </c>
      <c r="E170" s="6" t="n">
        <v>0.1033289647069328</v>
      </c>
      <c r="F170" s="6" t="n">
        <v>0.2096521898469266</v>
      </c>
      <c r="G170" s="6" t="n">
        <v>169</v>
      </c>
      <c r="H170" s="6" t="n">
        <v>160</v>
      </c>
      <c r="I170" s="6" t="inlineStr">
        <is>
          <t>***鞋材有限公司</t>
        </is>
      </c>
      <c r="J170" s="6" t="b">
        <v>0</v>
      </c>
    </row>
    <row r="171">
      <c r="A171" s="6" t="inlineStr">
        <is>
          <t>E285</t>
        </is>
      </c>
      <c r="B171" s="6" t="n">
        <v>0.1093521978370839</v>
      </c>
      <c r="C171" s="6" t="inlineStr">
        <is>
          <t>B</t>
        </is>
      </c>
      <c r="D171" s="6" t="n">
        <v>0.7046257112561259</v>
      </c>
      <c r="E171" s="6" t="n">
        <v>0.08963051658414406</v>
      </c>
      <c r="F171" s="6" t="n">
        <v>0.2138167366121718</v>
      </c>
      <c r="G171" s="6" t="n">
        <v>170</v>
      </c>
      <c r="H171" s="6" t="n">
        <v>107</v>
      </c>
      <c r="I171" s="6" t="inlineStr">
        <is>
          <t xml:space="preserve">个体经营E285 </t>
        </is>
      </c>
      <c r="J171" s="6" t="b">
        <v>0</v>
      </c>
    </row>
    <row r="172">
      <c r="A172" s="6" t="inlineStr">
        <is>
          <t>E327</t>
        </is>
      </c>
      <c r="B172" s="6" t="n">
        <v>0.1099765011802115</v>
      </c>
      <c r="C172" s="6" t="inlineStr">
        <is>
          <t>B</t>
        </is>
      </c>
      <c r="D172" s="6" t="n">
        <v>0.6595577247646097</v>
      </c>
      <c r="E172" s="6" t="n">
        <v>0.1112863779727618</v>
      </c>
      <c r="F172" s="6" t="n">
        <v>0.2156012798418137</v>
      </c>
      <c r="G172" s="6" t="n">
        <v>171</v>
      </c>
      <c r="H172" s="6" t="n">
        <v>170</v>
      </c>
      <c r="I172" s="6" t="inlineStr">
        <is>
          <t xml:space="preserve">个体经营E327 </t>
        </is>
      </c>
      <c r="J172" s="6" t="b">
        <v>0</v>
      </c>
    </row>
    <row r="173">
      <c r="A173" s="6" t="inlineStr">
        <is>
          <t>E304</t>
        </is>
      </c>
      <c r="B173" s="6" t="n">
        <v>0.1119741959446156</v>
      </c>
      <c r="C173" s="6" t="inlineStr">
        <is>
          <t>B</t>
        </is>
      </c>
      <c r="D173" s="6" t="n">
        <v>0.5460193490100778</v>
      </c>
      <c r="E173" s="6" t="n">
        <v>0.1524692283649532</v>
      </c>
      <c r="F173" s="6" t="n">
        <v>0.1833803899667712</v>
      </c>
      <c r="G173" s="6" t="n">
        <v>172</v>
      </c>
      <c r="H173" s="6" t="n">
        <v>263</v>
      </c>
      <c r="I173" s="6" t="inlineStr">
        <is>
          <t>***环保科技有限公司</t>
        </is>
      </c>
      <c r="J173" s="6" t="b">
        <v>0</v>
      </c>
    </row>
    <row r="174">
      <c r="A174" s="6" t="inlineStr">
        <is>
          <t>E263</t>
        </is>
      </c>
      <c r="B174" s="6" t="n">
        <v>0.1128371318235624</v>
      </c>
      <c r="C174" s="6" t="inlineStr">
        <is>
          <t>B</t>
        </is>
      </c>
      <c r="D174" s="6" t="n">
        <v>0.6849893783498548</v>
      </c>
      <c r="E174" s="6" t="n">
        <v>0.09789855824021844</v>
      </c>
      <c r="F174" s="6" t="n">
        <v>0.2128800362318937</v>
      </c>
      <c r="G174" s="6" t="n">
        <v>173</v>
      </c>
      <c r="H174" s="6" t="n">
        <v>139</v>
      </c>
      <c r="I174" s="6" t="inlineStr">
        <is>
          <t>***通信工程有限公司</t>
        </is>
      </c>
      <c r="J174" s="6" t="b">
        <v>0</v>
      </c>
    </row>
    <row r="175">
      <c r="A175" s="6" t="inlineStr">
        <is>
          <t>E158</t>
        </is>
      </c>
      <c r="B175" s="6" t="n">
        <v>0.1139033994882</v>
      </c>
      <c r="C175" s="6" t="inlineStr">
        <is>
          <t>B</t>
        </is>
      </c>
      <c r="D175" s="6" t="n">
        <v>0.687761376682015</v>
      </c>
      <c r="E175" s="6" t="n">
        <v>0.0972506065905097</v>
      </c>
      <c r="F175" s="6" t="n">
        <v>0.2142118433686976</v>
      </c>
      <c r="G175" s="6" t="n">
        <v>174</v>
      </c>
      <c r="H175" s="6" t="n">
        <v>135</v>
      </c>
      <c r="I175" s="6" t="inlineStr">
        <is>
          <t>***装饰工程有限公司</t>
        </is>
      </c>
      <c r="J175" s="6" t="b">
        <v>0</v>
      </c>
    </row>
    <row r="176">
      <c r="A176" s="6" t="inlineStr">
        <is>
          <t>E248</t>
        </is>
      </c>
      <c r="B176" s="6" t="n">
        <v>0.1156500930847806</v>
      </c>
      <c r="C176" s="6" t="inlineStr">
        <is>
          <t>B</t>
        </is>
      </c>
      <c r="D176" s="6" t="n">
        <v>0.7079663653383911</v>
      </c>
      <c r="E176" s="6" t="n">
        <v>0.08801053795395591</v>
      </c>
      <c r="F176" s="6" t="n">
        <v>0.2133606998349284</v>
      </c>
      <c r="G176" s="6" t="n">
        <v>175</v>
      </c>
      <c r="H176" s="6" t="n">
        <v>102</v>
      </c>
      <c r="I176" s="6" t="inlineStr">
        <is>
          <t>***智能科技有限公司</t>
        </is>
      </c>
      <c r="J176" s="6" t="b">
        <v>0</v>
      </c>
    </row>
    <row r="177">
      <c r="A177" s="6" t="inlineStr">
        <is>
          <t>E326</t>
        </is>
      </c>
      <c r="B177" s="6" t="n">
        <v>0.1171199500387962</v>
      </c>
      <c r="C177" s="6" t="inlineStr">
        <is>
          <t>B</t>
        </is>
      </c>
      <c r="D177" s="6" t="n">
        <v>0.6617430433103312</v>
      </c>
      <c r="E177" s="6" t="n">
        <v>0.1078963621035976</v>
      </c>
      <c r="F177" s="6" t="n">
        <v>0.2110811488381398</v>
      </c>
      <c r="G177" s="6" t="n">
        <v>176</v>
      </c>
      <c r="H177" s="6" t="n">
        <v>166</v>
      </c>
      <c r="I177" s="6" t="inlineStr">
        <is>
          <t>***包装材料有限公司</t>
        </is>
      </c>
      <c r="J177" s="6" t="b">
        <v>0</v>
      </c>
    </row>
    <row r="178">
      <c r="A178" s="6" t="inlineStr">
        <is>
          <t>E333</t>
        </is>
      </c>
      <c r="B178" s="6" t="n">
        <v>0.1173697682028195</v>
      </c>
      <c r="C178" s="6" t="inlineStr">
        <is>
          <t>B</t>
        </is>
      </c>
      <c r="D178" s="6" t="n">
        <v>0.6767617332143957</v>
      </c>
      <c r="E178" s="6" t="n">
        <v>0.1040934249878356</v>
      </c>
      <c r="F178" s="6" t="n">
        <v>0.2179396870659365</v>
      </c>
      <c r="G178" s="6" t="n">
        <v>177</v>
      </c>
      <c r="H178" s="6" t="n">
        <v>151</v>
      </c>
      <c r="I178" s="6" t="inlineStr">
        <is>
          <t>***房地产营销策划有限公司</t>
        </is>
      </c>
      <c r="J178" s="6" t="b">
        <v>0</v>
      </c>
    </row>
    <row r="179">
      <c r="A179" s="6" t="inlineStr">
        <is>
          <t>E316</t>
        </is>
      </c>
      <c r="B179" s="6" t="n">
        <v>0.1178199124523829</v>
      </c>
      <c r="C179" s="6" t="inlineStr">
        <is>
          <t>B</t>
        </is>
      </c>
      <c r="D179" s="6" t="n">
        <v>0.7062402774066275</v>
      </c>
      <c r="E179" s="6" t="n">
        <v>0.09086176327249391</v>
      </c>
      <c r="F179" s="6" t="n">
        <v>0.2184446401729724</v>
      </c>
      <c r="G179" s="6" t="n">
        <v>178</v>
      </c>
      <c r="H179" s="6" t="n">
        <v>104</v>
      </c>
      <c r="I179" s="6" t="inlineStr">
        <is>
          <t xml:space="preserve">个体经营E316 </t>
        </is>
      </c>
      <c r="J179" s="6" t="b">
        <v>0</v>
      </c>
    </row>
    <row r="180">
      <c r="A180" s="6" t="inlineStr">
        <is>
          <t>E341</t>
        </is>
      </c>
      <c r="B180" s="6" t="n">
        <v>0.1184324711623615</v>
      </c>
      <c r="C180" s="6" t="inlineStr">
        <is>
          <t>B</t>
        </is>
      </c>
      <c r="D180" s="6" t="n">
        <v>0.6457207556144445</v>
      </c>
      <c r="E180" s="6" t="n">
        <v>0.1152591837406015</v>
      </c>
      <c r="F180" s="6" t="n">
        <v>0.210075098657176</v>
      </c>
      <c r="G180" s="6" t="n">
        <v>179</v>
      </c>
      <c r="H180" s="6" t="n">
        <v>182</v>
      </c>
      <c r="I180" s="6" t="inlineStr">
        <is>
          <t>***纺织品有限公司</t>
        </is>
      </c>
      <c r="J180" s="6" t="b">
        <v>0</v>
      </c>
    </row>
    <row r="181">
      <c r="A181" s="6" t="inlineStr">
        <is>
          <t>E278</t>
        </is>
      </c>
      <c r="B181" s="6" t="n">
        <v>0.1203132116013462</v>
      </c>
      <c r="C181" s="6" t="inlineStr">
        <is>
          <t>B</t>
        </is>
      </c>
      <c r="D181" s="6" t="n">
        <v>0.6822988233838198</v>
      </c>
      <c r="E181" s="6" t="n">
        <v>0.0970177215475953</v>
      </c>
      <c r="F181" s="6" t="n">
        <v>0.2083564120358126</v>
      </c>
      <c r="G181" s="6" t="n">
        <v>180</v>
      </c>
      <c r="H181" s="6" t="n">
        <v>144</v>
      </c>
      <c r="I181" s="6" t="inlineStr">
        <is>
          <t>***贸易有限公司</t>
        </is>
      </c>
      <c r="J181" s="6" t="b">
        <v>0</v>
      </c>
    </row>
    <row r="182">
      <c r="A182" s="6" t="inlineStr">
        <is>
          <t>E271</t>
        </is>
      </c>
      <c r="B182" s="6" t="n">
        <v>0.1204649124730087</v>
      </c>
      <c r="C182" s="6" t="inlineStr">
        <is>
          <t>B</t>
        </is>
      </c>
      <c r="D182" s="6" t="n">
        <v>0.6796818103231429</v>
      </c>
      <c r="E182" s="6" t="n">
        <v>0.09798012436881529</v>
      </c>
      <c r="F182" s="6" t="n">
        <v>0.2079036110121179</v>
      </c>
      <c r="G182" s="6" t="n">
        <v>181</v>
      </c>
      <c r="H182" s="6" t="n">
        <v>146</v>
      </c>
      <c r="I182" s="6" t="inlineStr">
        <is>
          <t>***科技有限公司</t>
        </is>
      </c>
      <c r="J182" s="6" t="b">
        <v>0</v>
      </c>
    </row>
    <row r="183">
      <c r="A183" s="6" t="inlineStr">
        <is>
          <t>E346</t>
        </is>
      </c>
      <c r="B183" s="6" t="n">
        <v>0.1205055567897104</v>
      </c>
      <c r="C183" s="6" t="inlineStr">
        <is>
          <t>B</t>
        </is>
      </c>
      <c r="D183" s="6" t="n">
        <v>0.6585307055797446</v>
      </c>
      <c r="E183" s="6" t="n">
        <v>0.1059983723545023</v>
      </c>
      <c r="F183" s="6" t="n">
        <v>0.20442008718654</v>
      </c>
      <c r="G183" s="6" t="n">
        <v>182</v>
      </c>
      <c r="H183" s="6" t="n">
        <v>174</v>
      </c>
      <c r="I183" s="6" t="inlineStr">
        <is>
          <t xml:space="preserve">个体经营E346 </t>
        </is>
      </c>
      <c r="J183" s="6" t="b">
        <v>0</v>
      </c>
    </row>
    <row r="184">
      <c r="A184" s="6" t="inlineStr">
        <is>
          <t>E245</t>
        </is>
      </c>
      <c r="B184" s="6" t="n">
        <v>0.1205816916366796</v>
      </c>
      <c r="C184" s="6" t="inlineStr">
        <is>
          <t>B</t>
        </is>
      </c>
      <c r="D184" s="6" t="n">
        <v>0.7018886840471525</v>
      </c>
      <c r="E184" s="6" t="n">
        <v>0.09255665122056068</v>
      </c>
      <c r="F184" s="6" t="n">
        <v>0.2179201615254555</v>
      </c>
      <c r="G184" s="6" t="n">
        <v>183</v>
      </c>
      <c r="H184" s="6" t="n">
        <v>110</v>
      </c>
      <c r="I184" s="6" t="inlineStr">
        <is>
          <t>***建筑劳务有限公司</t>
        </is>
      </c>
      <c r="J184" s="6" t="b">
        <v>0</v>
      </c>
    </row>
    <row r="185">
      <c r="A185" s="6" t="inlineStr">
        <is>
          <t>E393</t>
        </is>
      </c>
      <c r="B185" s="6" t="n">
        <v>0.1216600768405768</v>
      </c>
      <c r="C185" s="6" t="inlineStr">
        <is>
          <t>B</t>
        </is>
      </c>
      <c r="D185" s="6" t="n">
        <v>0.6344441430914103</v>
      </c>
      <c r="E185" s="6" t="n">
        <v>0.1205400478130424</v>
      </c>
      <c r="F185" s="6" t="n">
        <v>0.2092044920020711</v>
      </c>
      <c r="G185" s="6" t="n">
        <v>184</v>
      </c>
      <c r="H185" s="6" t="n">
        <v>193</v>
      </c>
      <c r="I185" s="6" t="inlineStr">
        <is>
          <t>***商贸有限责任公司</t>
        </is>
      </c>
      <c r="J185" s="6" t="b">
        <v>0</v>
      </c>
    </row>
    <row r="186">
      <c r="A186" s="6" t="inlineStr">
        <is>
          <t>E339</t>
        </is>
      </c>
      <c r="B186" s="6" t="n">
        <v>0.1224402880047947</v>
      </c>
      <c r="C186" s="6" t="inlineStr">
        <is>
          <t>B</t>
        </is>
      </c>
      <c r="D186" s="6" t="n">
        <v>0.6429206929953006</v>
      </c>
      <c r="E186" s="6" t="n">
        <v>0.1157499251755908</v>
      </c>
      <c r="F186" s="6" t="n">
        <v>0.2084075460218859</v>
      </c>
      <c r="G186" s="6" t="n">
        <v>185</v>
      </c>
      <c r="H186" s="6" t="n">
        <v>185</v>
      </c>
      <c r="I186" s="6" t="inlineStr">
        <is>
          <t>***居益卫浴家俬厂</t>
        </is>
      </c>
      <c r="J186" s="6" t="b">
        <v>0</v>
      </c>
    </row>
    <row r="187">
      <c r="A187" s="6" t="inlineStr">
        <is>
          <t>E309</t>
        </is>
      </c>
      <c r="B187" s="6" t="n">
        <v>0.1236834186094626</v>
      </c>
      <c r="C187" s="6" t="inlineStr">
        <is>
          <t>B</t>
        </is>
      </c>
      <c r="D187" s="6" t="n">
        <v>0.6771137877972409</v>
      </c>
      <c r="E187" s="6" t="n">
        <v>0.1002640540311532</v>
      </c>
      <c r="F187" s="6" t="n">
        <v>0.2102603667768544</v>
      </c>
      <c r="G187" s="6" t="n">
        <v>186</v>
      </c>
      <c r="H187" s="6" t="n">
        <v>150</v>
      </c>
      <c r="I187" s="6" t="inlineStr">
        <is>
          <t xml:space="preserve">个体经营E309 </t>
        </is>
      </c>
      <c r="J187" s="6" t="b">
        <v>0</v>
      </c>
    </row>
    <row r="188">
      <c r="A188" s="6" t="inlineStr">
        <is>
          <t>E357</t>
        </is>
      </c>
      <c r="B188" s="6" t="n">
        <v>0.1242542666290524</v>
      </c>
      <c r="C188" s="6" t="inlineStr">
        <is>
          <t>B</t>
        </is>
      </c>
      <c r="D188" s="6" t="n">
        <v>0.6214732895968399</v>
      </c>
      <c r="E188" s="6" t="n">
        <v>0.1241025875025168</v>
      </c>
      <c r="F188" s="6" t="n">
        <v>0.2037542957550426</v>
      </c>
      <c r="G188" s="6" t="n">
        <v>187</v>
      </c>
      <c r="H188" s="6" t="n">
        <v>203</v>
      </c>
      <c r="I188" s="6" t="inlineStr">
        <is>
          <t>***家居经营部</t>
        </is>
      </c>
      <c r="J188" s="6" t="b">
        <v>0</v>
      </c>
    </row>
    <row r="189">
      <c r="A189" s="6" t="inlineStr">
        <is>
          <t>E329</t>
        </is>
      </c>
      <c r="B189" s="6" t="n">
        <v>0.1246790383811467</v>
      </c>
      <c r="C189" s="6" t="inlineStr">
        <is>
          <t>B</t>
        </is>
      </c>
      <c r="D189" s="6" t="n">
        <v>0.6354525565934566</v>
      </c>
      <c r="E189" s="6" t="n">
        <v>0.1193816750854266</v>
      </c>
      <c r="F189" s="6" t="n">
        <v>0.2080974425017241</v>
      </c>
      <c r="G189" s="6" t="n">
        <v>188</v>
      </c>
      <c r="H189" s="6" t="n">
        <v>192</v>
      </c>
      <c r="I189" s="6" t="inlineStr">
        <is>
          <t>***园艺有限责任公司</t>
        </is>
      </c>
      <c r="J189" s="6" t="b">
        <v>0</v>
      </c>
    </row>
    <row r="190">
      <c r="A190" s="6" t="inlineStr">
        <is>
          <t>E334</t>
        </is>
      </c>
      <c r="B190" s="6" t="n">
        <v>0.1248826610634042</v>
      </c>
      <c r="C190" s="6" t="inlineStr">
        <is>
          <t>B</t>
        </is>
      </c>
      <c r="D190" s="6" t="n">
        <v>0.6548290868384412</v>
      </c>
      <c r="E190" s="6" t="n">
        <v>0.1104513581364377</v>
      </c>
      <c r="F190" s="6" t="n">
        <v>0.2095389826624709</v>
      </c>
      <c r="G190" s="6" t="n">
        <v>189</v>
      </c>
      <c r="H190" s="6" t="n">
        <v>177</v>
      </c>
      <c r="I190" s="6" t="inlineStr">
        <is>
          <t>***机械科技有限公司</t>
        </is>
      </c>
      <c r="J190" s="6" t="b">
        <v>0</v>
      </c>
    </row>
    <row r="191">
      <c r="A191" s="6" t="inlineStr">
        <is>
          <t>E314</t>
        </is>
      </c>
      <c r="B191" s="6" t="n">
        <v>0.125775363843122</v>
      </c>
      <c r="C191" s="6" t="inlineStr">
        <is>
          <t>B</t>
        </is>
      </c>
      <c r="D191" s="6" t="n">
        <v>0.6600362802648027</v>
      </c>
      <c r="E191" s="6" t="n">
        <v>0.1072553494668278</v>
      </c>
      <c r="F191" s="6" t="n">
        <v>0.2082352256756331</v>
      </c>
      <c r="G191" s="6" t="n">
        <v>190</v>
      </c>
      <c r="H191" s="6" t="n">
        <v>169</v>
      </c>
      <c r="I191" s="6" t="inlineStr">
        <is>
          <t>***房地产营销策划有限公司</t>
        </is>
      </c>
      <c r="J191" s="6" t="b">
        <v>0</v>
      </c>
    </row>
    <row r="192">
      <c r="A192" s="6" t="inlineStr">
        <is>
          <t>E382</t>
        </is>
      </c>
      <c r="B192" s="6" t="n">
        <v>0.1259974658498889</v>
      </c>
      <c r="C192" s="6" t="inlineStr">
        <is>
          <t>B</t>
        </is>
      </c>
      <c r="D192" s="6" t="n">
        <v>0.6139804499644292</v>
      </c>
      <c r="E192" s="6" t="n">
        <v>0.128220178196475</v>
      </c>
      <c r="F192" s="6" t="n">
        <v>0.2039396261053014</v>
      </c>
      <c r="G192" s="6" t="n">
        <v>191</v>
      </c>
      <c r="H192" s="6" t="n">
        <v>211</v>
      </c>
      <c r="I192" s="6" t="inlineStr">
        <is>
          <t>***教育信息咨询有限公司***分公司</t>
        </is>
      </c>
      <c r="J192" s="6" t="b">
        <v>0</v>
      </c>
    </row>
    <row r="193">
      <c r="A193" s="6" t="inlineStr">
        <is>
          <t>E387</t>
        </is>
      </c>
      <c r="B193" s="6" t="n">
        <v>0.1261563121441561</v>
      </c>
      <c r="C193" s="6" t="inlineStr">
        <is>
          <t>B</t>
        </is>
      </c>
      <c r="D193" s="6" t="n">
        <v>0.6081334004422163</v>
      </c>
      <c r="E193" s="6" t="n">
        <v>0.1363165973024028</v>
      </c>
      <c r="F193" s="6" t="n">
        <v>0.2115482053019384</v>
      </c>
      <c r="G193" s="6" t="n">
        <v>192</v>
      </c>
      <c r="H193" s="6" t="n">
        <v>217</v>
      </c>
      <c r="I193" s="6" t="inlineStr">
        <is>
          <t>***农副产品经营部</t>
        </is>
      </c>
      <c r="J193" s="6" t="b">
        <v>0</v>
      </c>
    </row>
    <row r="194">
      <c r="A194" s="6" t="inlineStr">
        <is>
          <t>E239</t>
        </is>
      </c>
      <c r="B194" s="6" t="n">
        <v>0.1291797537265735</v>
      </c>
      <c r="C194" s="6" t="inlineStr">
        <is>
          <t>B</t>
        </is>
      </c>
      <c r="D194" s="6" t="n">
        <v>0.6704877599367474</v>
      </c>
      <c r="E194" s="6" t="n">
        <v>0.09769481853015566</v>
      </c>
      <c r="F194" s="6" t="n">
        <v>0.1987883060766945</v>
      </c>
      <c r="G194" s="6" t="n">
        <v>193</v>
      </c>
      <c r="H194" s="6" t="n">
        <v>158</v>
      </c>
      <c r="I194" s="6" t="inlineStr">
        <is>
          <t xml:space="preserve">个体经营E239 </t>
        </is>
      </c>
      <c r="J194" s="6" t="b">
        <v>0</v>
      </c>
    </row>
    <row r="195">
      <c r="A195" s="6" t="inlineStr">
        <is>
          <t>E388</t>
        </is>
      </c>
      <c r="B195" s="6" t="n">
        <v>0.1335217157718546</v>
      </c>
      <c r="C195" s="6" t="inlineStr">
        <is>
          <t>B</t>
        </is>
      </c>
      <c r="D195" s="6" t="n">
        <v>0.6624529756020658</v>
      </c>
      <c r="E195" s="6" t="n">
        <v>0.1101772845145391</v>
      </c>
      <c r="F195" s="6" t="n">
        <v>0.2162284502451046</v>
      </c>
      <c r="G195" s="6" t="n">
        <v>194</v>
      </c>
      <c r="H195" s="6" t="n">
        <v>164</v>
      </c>
      <c r="I195" s="6" t="inlineStr">
        <is>
          <t>***商贸有限公司</t>
        </is>
      </c>
      <c r="J195" s="6" t="b">
        <v>0</v>
      </c>
    </row>
    <row r="196">
      <c r="A196" s="6" t="inlineStr">
        <is>
          <t>E215</t>
        </is>
      </c>
      <c r="B196" s="6" t="n">
        <v>0.1343832090117594</v>
      </c>
      <c r="C196" s="6" t="inlineStr">
        <is>
          <t>B</t>
        </is>
      </c>
      <c r="D196" s="6" t="n">
        <v>0.6734555796437245</v>
      </c>
      <c r="E196" s="6" t="n">
        <v>0.1043953561264461</v>
      </c>
      <c r="F196" s="6" t="n">
        <v>0.2153019028637574</v>
      </c>
      <c r="G196" s="6" t="n">
        <v>195</v>
      </c>
      <c r="H196" s="6" t="n">
        <v>153</v>
      </c>
      <c r="I196" s="6" t="inlineStr">
        <is>
          <t>***建筑工程有限公司</t>
        </is>
      </c>
      <c r="J196" s="6" t="b">
        <v>0</v>
      </c>
    </row>
    <row r="197">
      <c r="A197" s="6" t="inlineStr">
        <is>
          <t>E133</t>
        </is>
      </c>
      <c r="B197" s="6" t="n">
        <v>0.1344781139540116</v>
      </c>
      <c r="C197" s="6" t="inlineStr">
        <is>
          <t>B</t>
        </is>
      </c>
      <c r="D197" s="6" t="n">
        <v>0.6936280355516196</v>
      </c>
      <c r="E197" s="6" t="n">
        <v>0.09723162180320551</v>
      </c>
      <c r="F197" s="6" t="n">
        <v>0.2201329973069994</v>
      </c>
      <c r="G197" s="6" t="n">
        <v>196</v>
      </c>
      <c r="H197" s="6" t="n">
        <v>123</v>
      </c>
      <c r="I197" s="6" t="inlineStr">
        <is>
          <t xml:space="preserve">个体经营E133 </t>
        </is>
      </c>
      <c r="J197" s="6" t="b">
        <v>0</v>
      </c>
    </row>
    <row r="198">
      <c r="A198" s="6" t="inlineStr">
        <is>
          <t>E374</t>
        </is>
      </c>
      <c r="B198" s="6" t="n">
        <v>0.1347013653836889</v>
      </c>
      <c r="C198" s="6" t="inlineStr">
        <is>
          <t>B</t>
        </is>
      </c>
      <c r="D198" s="6" t="n">
        <v>0.5946633647158391</v>
      </c>
      <c r="E198" s="6" t="n">
        <v>0.1386076155156957</v>
      </c>
      <c r="F198" s="6" t="n">
        <v>0.2033491765678152</v>
      </c>
      <c r="G198" s="6" t="n">
        <v>197</v>
      </c>
      <c r="H198" s="6" t="n">
        <v>228</v>
      </c>
      <c r="I198" s="6" t="inlineStr">
        <is>
          <t>***建材经营部</t>
        </is>
      </c>
      <c r="J198" s="6" t="b">
        <v>0</v>
      </c>
    </row>
    <row r="199">
      <c r="A199" s="6" t="inlineStr">
        <is>
          <t>E295</t>
        </is>
      </c>
      <c r="B199" s="6" t="n">
        <v>0.1347047552821777</v>
      </c>
      <c r="C199" s="6" t="inlineStr">
        <is>
          <t>B</t>
        </is>
      </c>
      <c r="D199" s="6" t="n">
        <v>0.6847862498151071</v>
      </c>
      <c r="E199" s="6" t="n">
        <v>0.09616152085745568</v>
      </c>
      <c r="F199" s="6" t="n">
        <v>0.2089061381550423</v>
      </c>
      <c r="G199" s="6" t="n">
        <v>198</v>
      </c>
      <c r="H199" s="6" t="n">
        <v>140</v>
      </c>
      <c r="I199" s="6" t="inlineStr">
        <is>
          <t>***电器设备制造有限公司</t>
        </is>
      </c>
      <c r="J199" s="6" t="b">
        <v>0</v>
      </c>
    </row>
    <row r="200">
      <c r="A200" s="6" t="inlineStr">
        <is>
          <t>E312</t>
        </is>
      </c>
      <c r="B200" s="6" t="n">
        <v>0.1347323063003059</v>
      </c>
      <c r="C200" s="6" t="inlineStr">
        <is>
          <t>B</t>
        </is>
      </c>
      <c r="D200" s="6" t="n">
        <v>0.5079199792568608</v>
      </c>
      <c r="E200" s="6" t="n">
        <v>0.1761778358442641</v>
      </c>
      <c r="F200" s="6" t="n">
        <v>0.1818489655247497</v>
      </c>
      <c r="G200" s="6" t="n">
        <v>199</v>
      </c>
      <c r="H200" s="6" t="n">
        <v>278</v>
      </c>
      <c r="I200" s="6" t="inlineStr">
        <is>
          <t>***家居用品有限公司</t>
        </is>
      </c>
      <c r="J200" s="6" t="b">
        <v>0</v>
      </c>
    </row>
    <row r="201">
      <c r="A201" s="6" t="inlineStr">
        <is>
          <t>E358</t>
        </is>
      </c>
      <c r="B201" s="6" t="n">
        <v>0.1347581191082588</v>
      </c>
      <c r="C201" s="6" t="inlineStr">
        <is>
          <t>B</t>
        </is>
      </c>
      <c r="D201" s="6" t="n">
        <v>0.606249039249057</v>
      </c>
      <c r="E201" s="6" t="n">
        <v>0.1314812940450867</v>
      </c>
      <c r="F201" s="6" t="n">
        <v>0.2024386379706521</v>
      </c>
      <c r="G201" s="6" t="n">
        <v>200</v>
      </c>
      <c r="H201" s="6" t="n">
        <v>218</v>
      </c>
      <c r="I201" s="6" t="inlineStr">
        <is>
          <t>***五金经营部</t>
        </is>
      </c>
      <c r="J201" s="6" t="b">
        <v>0</v>
      </c>
    </row>
    <row r="202">
      <c r="A202" s="6" t="inlineStr">
        <is>
          <t>E210</t>
        </is>
      </c>
      <c r="B202" s="6" t="n">
        <v>0.135080909121644</v>
      </c>
      <c r="C202" s="6" t="inlineStr">
        <is>
          <t>B</t>
        </is>
      </c>
      <c r="D202" s="6" t="n">
        <v>0.6825610906572536</v>
      </c>
      <c r="E202" s="6" t="n">
        <v>0.100814475911443</v>
      </c>
      <c r="F202" s="6" t="n">
        <v>0.2167725398711471</v>
      </c>
      <c r="G202" s="6" t="n">
        <v>201</v>
      </c>
      <c r="H202" s="6" t="n">
        <v>143</v>
      </c>
      <c r="I202" s="6" t="inlineStr">
        <is>
          <t>***建筑工程有限公司</t>
        </is>
      </c>
      <c r="J202" s="6" t="b">
        <v>0</v>
      </c>
    </row>
    <row r="203">
      <c r="A203" s="6" t="inlineStr">
        <is>
          <t>E269</t>
        </is>
      </c>
      <c r="B203" s="6" t="n">
        <v>0.1356520987029065</v>
      </c>
      <c r="C203" s="6" t="inlineStr">
        <is>
          <t>B</t>
        </is>
      </c>
      <c r="D203" s="6" t="n">
        <v>0.6561048885566577</v>
      </c>
      <c r="E203" s="6" t="n">
        <v>0.1135195460668665</v>
      </c>
      <c r="F203" s="6" t="n">
        <v>0.2165797844831379</v>
      </c>
      <c r="G203" s="6" t="n">
        <v>202</v>
      </c>
      <c r="H203" s="6" t="n">
        <v>176</v>
      </c>
      <c r="I203" s="6" t="inlineStr">
        <is>
          <t>***节能服务有限公司</t>
        </is>
      </c>
      <c r="J203" s="6" t="b">
        <v>0</v>
      </c>
    </row>
    <row r="204">
      <c r="A204" s="6" t="inlineStr">
        <is>
          <t>E288</t>
        </is>
      </c>
      <c r="B204" s="6" t="n">
        <v>0.1366803572355055</v>
      </c>
      <c r="C204" s="6" t="inlineStr">
        <is>
          <t>B</t>
        </is>
      </c>
      <c r="D204" s="6" t="n">
        <v>0.6791583565482102</v>
      </c>
      <c r="E204" s="6" t="n">
        <v>0.09963207594043276</v>
      </c>
      <c r="F204" s="6" t="n">
        <v>0.2109014161229304</v>
      </c>
      <c r="G204" s="6" t="n">
        <v>203</v>
      </c>
      <c r="H204" s="6" t="n">
        <v>148</v>
      </c>
      <c r="I204" s="6" t="inlineStr">
        <is>
          <t xml:space="preserve">个体经营E288 </t>
        </is>
      </c>
      <c r="J204" s="6" t="b">
        <v>0</v>
      </c>
    </row>
    <row r="205">
      <c r="A205" s="6" t="inlineStr">
        <is>
          <t>E317</t>
        </is>
      </c>
      <c r="B205" s="6" t="n">
        <v>0.1395073084114468</v>
      </c>
      <c r="C205" s="6" t="inlineStr">
        <is>
          <t>B</t>
        </is>
      </c>
      <c r="D205" s="6" t="n">
        <v>0.7035232718310852</v>
      </c>
      <c r="E205" s="6" t="n">
        <v>0.09113379360536582</v>
      </c>
      <c r="F205" s="6" t="n">
        <v>0.2162555727311489</v>
      </c>
      <c r="G205" s="6" t="n">
        <v>204</v>
      </c>
      <c r="H205" s="6" t="n">
        <v>108</v>
      </c>
      <c r="I205" s="6" t="inlineStr">
        <is>
          <t>***科技有限公司</t>
        </is>
      </c>
      <c r="J205" s="6" t="b">
        <v>0</v>
      </c>
    </row>
    <row r="206">
      <c r="A206" s="6" t="inlineStr">
        <is>
          <t>E219</t>
        </is>
      </c>
      <c r="B206" s="6" t="n">
        <v>0.1395605669282572</v>
      </c>
      <c r="C206" s="6" t="inlineStr">
        <is>
          <t>B</t>
        </is>
      </c>
      <c r="D206" s="6" t="n">
        <v>0.5849851732463058</v>
      </c>
      <c r="E206" s="6" t="n">
        <v>0.1315653636953793</v>
      </c>
      <c r="F206" s="6" t="n">
        <v>0.1854482830808156</v>
      </c>
      <c r="G206" s="6" t="n">
        <v>205</v>
      </c>
      <c r="H206" s="6" t="n">
        <v>234</v>
      </c>
      <c r="I206" s="6" t="inlineStr">
        <is>
          <t>***品牌营销策划有限公司</t>
        </is>
      </c>
      <c r="J206" s="6" t="b">
        <v>0</v>
      </c>
    </row>
    <row r="207">
      <c r="A207" s="6" t="inlineStr">
        <is>
          <t>E415</t>
        </is>
      </c>
      <c r="B207" s="6" t="n">
        <v>0.1429953200515635</v>
      </c>
      <c r="C207" s="6" t="inlineStr">
        <is>
          <t>B</t>
        </is>
      </c>
      <c r="D207" s="6" t="n">
        <v>0.5988543912307119</v>
      </c>
      <c r="E207" s="6" t="n">
        <v>0.1380525735605747</v>
      </c>
      <c r="F207" s="6" t="n">
        <v>0.2060932192454815</v>
      </c>
      <c r="G207" s="6" t="n">
        <v>206</v>
      </c>
      <c r="H207" s="6" t="n">
        <v>227</v>
      </c>
      <c r="I207" s="6" t="inlineStr">
        <is>
          <t>***广告设计服务部</t>
        </is>
      </c>
      <c r="J207" s="6" t="b">
        <v>0</v>
      </c>
    </row>
    <row r="208">
      <c r="A208" s="6" t="inlineStr">
        <is>
          <t>E286</t>
        </is>
      </c>
      <c r="B208" s="6" t="n">
        <v>0.1438153132678384</v>
      </c>
      <c r="C208" s="6" t="inlineStr">
        <is>
          <t>B</t>
        </is>
      </c>
      <c r="D208" s="6" t="n">
        <v>0.6975666310417845</v>
      </c>
      <c r="E208" s="6" t="n">
        <v>0.09094553449257309</v>
      </c>
      <c r="F208" s="6" t="n">
        <v>0.2097670978662532</v>
      </c>
      <c r="G208" s="6" t="n">
        <v>207</v>
      </c>
      <c r="H208" s="6" t="n">
        <v>117</v>
      </c>
      <c r="I208" s="6" t="inlineStr">
        <is>
          <t>***印务有限公司</t>
        </is>
      </c>
      <c r="J208" s="6" t="b">
        <v>0</v>
      </c>
    </row>
    <row r="209">
      <c r="A209" s="6" t="inlineStr">
        <is>
          <t>E231</t>
        </is>
      </c>
      <c r="B209" s="6" t="n">
        <v>0.1478409566025393</v>
      </c>
      <c r="C209" s="6" t="inlineStr">
        <is>
          <t>B</t>
        </is>
      </c>
      <c r="D209" s="6" t="n">
        <v>0.5524122032676893</v>
      </c>
      <c r="E209" s="6" t="n">
        <v>0.1483840700270899</v>
      </c>
      <c r="F209" s="6" t="n">
        <v>0.1831354019299038</v>
      </c>
      <c r="G209" s="6" t="n">
        <v>208</v>
      </c>
      <c r="H209" s="6" t="n">
        <v>261</v>
      </c>
      <c r="I209" s="6" t="inlineStr">
        <is>
          <t>***建筑科技有限公司</t>
        </is>
      </c>
      <c r="J209" s="6" t="b">
        <v>0</v>
      </c>
    </row>
    <row r="210">
      <c r="A210" s="6" t="inlineStr">
        <is>
          <t>E332</t>
        </is>
      </c>
      <c r="B210" s="6" t="n">
        <v>0.1485409443054264</v>
      </c>
      <c r="C210" s="6" t="inlineStr">
        <is>
          <t>B</t>
        </is>
      </c>
      <c r="D210" s="6" t="n">
        <v>0.6367359699690363</v>
      </c>
      <c r="E210" s="6" t="n">
        <v>0.1202271217816454</v>
      </c>
      <c r="F210" s="6" t="n">
        <v>0.2107363423725059</v>
      </c>
      <c r="G210" s="6" t="n">
        <v>209</v>
      </c>
      <c r="H210" s="6" t="n">
        <v>191</v>
      </c>
      <c r="I210" s="6" t="inlineStr">
        <is>
          <t>***商贸有限公司</t>
        </is>
      </c>
      <c r="J210" s="6" t="b">
        <v>0</v>
      </c>
    </row>
    <row r="211">
      <c r="A211" s="6" t="inlineStr">
        <is>
          <t>E342</t>
        </is>
      </c>
      <c r="B211" s="6" t="n">
        <v>0.150213099806116</v>
      </c>
      <c r="C211" s="6" t="inlineStr">
        <is>
          <t>B</t>
        </is>
      </c>
      <c r="D211" s="6" t="n">
        <v>0.6615128612715314</v>
      </c>
      <c r="E211" s="6" t="n">
        <v>0.1075584283121531</v>
      </c>
      <c r="F211" s="6" t="n">
        <v>0.2102038025253249</v>
      </c>
      <c r="G211" s="6" t="n">
        <v>210</v>
      </c>
      <c r="H211" s="6" t="n">
        <v>167</v>
      </c>
      <c r="I211" s="6" t="inlineStr">
        <is>
          <t>***裕华机械厂</t>
        </is>
      </c>
      <c r="J211" s="6" t="b">
        <v>0</v>
      </c>
    </row>
    <row r="212">
      <c r="A212" s="6" t="inlineStr">
        <is>
          <t>E344</t>
        </is>
      </c>
      <c r="B212" s="6" t="n">
        <v>0.1511735545383836</v>
      </c>
      <c r="C212" s="6" t="inlineStr">
        <is>
          <t>B</t>
        </is>
      </c>
      <c r="D212" s="6" t="n">
        <v>0.6285771860745221</v>
      </c>
      <c r="E212" s="6" t="n">
        <v>0.1156170710096509</v>
      </c>
      <c r="F212" s="6" t="n">
        <v>0.1956644837977182</v>
      </c>
      <c r="G212" s="6" t="n">
        <v>211</v>
      </c>
      <c r="H212" s="6" t="n">
        <v>196</v>
      </c>
      <c r="I212" s="6" t="inlineStr">
        <is>
          <t>***机械有限公司</t>
        </is>
      </c>
      <c r="J212" s="6" t="b">
        <v>0</v>
      </c>
    </row>
    <row r="213">
      <c r="A213" s="6" t="inlineStr">
        <is>
          <t>E300</t>
        </is>
      </c>
      <c r="B213" s="6" t="n">
        <v>0.1539896087317801</v>
      </c>
      <c r="C213" s="6" t="inlineStr">
        <is>
          <t>B</t>
        </is>
      </c>
      <c r="D213" s="6" t="n">
        <v>0.6965213787098747</v>
      </c>
      <c r="E213" s="6" t="n">
        <v>0.09265907595697458</v>
      </c>
      <c r="F213" s="6" t="n">
        <v>0.2126641641548638</v>
      </c>
      <c r="G213" s="6" t="n">
        <v>212</v>
      </c>
      <c r="H213" s="6" t="n">
        <v>118</v>
      </c>
      <c r="I213" s="6" t="inlineStr">
        <is>
          <t>***建设工程有限公司</t>
        </is>
      </c>
      <c r="J213" s="6" t="b">
        <v>0</v>
      </c>
    </row>
    <row r="214">
      <c r="A214" s="6" t="inlineStr">
        <is>
          <t>E340</t>
        </is>
      </c>
      <c r="B214" s="6" t="n">
        <v>0.155345521255632</v>
      </c>
      <c r="C214" s="6" t="inlineStr">
        <is>
          <t>B</t>
        </is>
      </c>
      <c r="D214" s="6" t="n">
        <v>0.6031897312101097</v>
      </c>
      <c r="E214" s="6" t="n">
        <v>0.1299450053799598</v>
      </c>
      <c r="F214" s="6" t="n">
        <v>0.1975288923501547</v>
      </c>
      <c r="G214" s="6" t="n">
        <v>213</v>
      </c>
      <c r="H214" s="6" t="n">
        <v>219</v>
      </c>
      <c r="I214" s="6" t="inlineStr">
        <is>
          <t>***物流有限公司</t>
        </is>
      </c>
      <c r="J214" s="6" t="b">
        <v>0</v>
      </c>
    </row>
    <row r="215">
      <c r="A215" s="6" t="inlineStr">
        <is>
          <t>E237</t>
        </is>
      </c>
      <c r="B215" s="6" t="n">
        <v>0.1570505532835418</v>
      </c>
      <c r="C215" s="6" t="inlineStr">
        <is>
          <t>B</t>
        </is>
      </c>
      <c r="D215" s="6" t="n">
        <v>0.6592255995115751</v>
      </c>
      <c r="E215" s="6" t="n">
        <v>0.1066967770735705</v>
      </c>
      <c r="F215" s="6" t="n">
        <v>0.2064041393117103</v>
      </c>
      <c r="G215" s="6" t="n">
        <v>214</v>
      </c>
      <c r="H215" s="6" t="n">
        <v>172</v>
      </c>
      <c r="I215" s="6" t="inlineStr">
        <is>
          <t xml:space="preserve">个体经营E237 </t>
        </is>
      </c>
      <c r="J215" s="6" t="b">
        <v>0</v>
      </c>
    </row>
    <row r="216">
      <c r="A216" s="6" t="inlineStr">
        <is>
          <t>E251</t>
        </is>
      </c>
      <c r="B216" s="6" t="n">
        <v>0.1574484809021704</v>
      </c>
      <c r="C216" s="6" t="inlineStr">
        <is>
          <t>B</t>
        </is>
      </c>
      <c r="D216" s="6" t="n">
        <v>0.6890770280634728</v>
      </c>
      <c r="E216" s="6" t="n">
        <v>0.09176335959131472</v>
      </c>
      <c r="F216" s="6" t="n">
        <v>0.203368772395535</v>
      </c>
      <c r="G216" s="6" t="n">
        <v>215</v>
      </c>
      <c r="H216" s="6" t="n">
        <v>131</v>
      </c>
      <c r="I216" s="6" t="inlineStr">
        <is>
          <t>***医疗器械有限责任公司</t>
        </is>
      </c>
      <c r="J216" s="6" t="b">
        <v>0</v>
      </c>
    </row>
    <row r="217">
      <c r="A217" s="6" t="inlineStr">
        <is>
          <t>E268</t>
        </is>
      </c>
      <c r="B217" s="6" t="n">
        <v>0.161416078997076</v>
      </c>
      <c r="C217" s="6" t="inlineStr">
        <is>
          <t>B</t>
        </is>
      </c>
      <c r="D217" s="6" t="n">
        <v>0.6169967082680696</v>
      </c>
      <c r="E217" s="6" t="n">
        <v>0.1237963722008168</v>
      </c>
      <c r="F217" s="6" t="n">
        <v>0.199428975657195</v>
      </c>
      <c r="G217" s="6" t="n">
        <v>216</v>
      </c>
      <c r="H217" s="6" t="n">
        <v>209</v>
      </c>
      <c r="I217" s="6" t="inlineStr">
        <is>
          <t>***建筑劳务有限公司</t>
        </is>
      </c>
      <c r="J217" s="6" t="b">
        <v>0</v>
      </c>
    </row>
    <row r="218">
      <c r="A218" s="6" t="inlineStr">
        <is>
          <t>E392</t>
        </is>
      </c>
      <c r="B218" s="6" t="n">
        <v>0.1642555252676096</v>
      </c>
      <c r="C218" s="6" t="inlineStr">
        <is>
          <t>B</t>
        </is>
      </c>
      <c r="D218" s="6" t="n">
        <v>0.6527059367373637</v>
      </c>
      <c r="E218" s="6" t="n">
        <v>0.1125354990454035</v>
      </c>
      <c r="F218" s="6" t="n">
        <v>0.2114996946120823</v>
      </c>
      <c r="G218" s="6" t="n">
        <v>217</v>
      </c>
      <c r="H218" s="6" t="n">
        <v>179</v>
      </c>
      <c r="I218" s="6" t="inlineStr">
        <is>
          <t>***科技有限公司</t>
        </is>
      </c>
      <c r="J218" s="6" t="b">
        <v>0</v>
      </c>
    </row>
    <row r="219">
      <c r="A219" s="6" t="inlineStr">
        <is>
          <t>E338</t>
        </is>
      </c>
      <c r="B219" s="6" t="n">
        <v>0.1660536910998008</v>
      </c>
      <c r="C219" s="6" t="inlineStr">
        <is>
          <t>B</t>
        </is>
      </c>
      <c r="D219" s="6" t="n">
        <v>0.6588653740597915</v>
      </c>
      <c r="E219" s="6" t="n">
        <v>0.1098894306362838</v>
      </c>
      <c r="F219" s="6" t="n">
        <v>0.2122397883880682</v>
      </c>
      <c r="G219" s="6" t="n">
        <v>218</v>
      </c>
      <c r="H219" s="6" t="n">
        <v>173</v>
      </c>
      <c r="I219" s="6" t="inlineStr">
        <is>
          <t>***商贸有限公司</t>
        </is>
      </c>
      <c r="J219" s="6" t="b">
        <v>0</v>
      </c>
    </row>
    <row r="220">
      <c r="A220" s="6" t="inlineStr">
        <is>
          <t>E354</t>
        </is>
      </c>
      <c r="B220" s="6" t="n">
        <v>0.1666343222922544</v>
      </c>
      <c r="C220" s="6" t="inlineStr">
        <is>
          <t>B</t>
        </is>
      </c>
      <c r="D220" s="6" t="n">
        <v>0.639869483041777</v>
      </c>
      <c r="E220" s="6" t="n">
        <v>0.1160774438129625</v>
      </c>
      <c r="F220" s="6" t="n">
        <v>0.2062430437519059</v>
      </c>
      <c r="G220" s="6" t="n">
        <v>219</v>
      </c>
      <c r="H220" s="6" t="n">
        <v>189</v>
      </c>
      <c r="I220" s="6" t="inlineStr">
        <is>
          <t>***广告有限公司</t>
        </is>
      </c>
      <c r="J220" s="6" t="b">
        <v>0</v>
      </c>
    </row>
    <row r="221">
      <c r="A221" s="6" t="inlineStr">
        <is>
          <t>E410</t>
        </is>
      </c>
      <c r="B221" s="6" t="n">
        <v>0.1686280439476642</v>
      </c>
      <c r="C221" s="6" t="inlineStr">
        <is>
          <t>B</t>
        </is>
      </c>
      <c r="D221" s="6" t="n">
        <v>0.6002891066947231</v>
      </c>
      <c r="E221" s="6" t="n">
        <v>0.1324825050720952</v>
      </c>
      <c r="F221" s="6" t="n">
        <v>0.1989633156223948</v>
      </c>
      <c r="G221" s="6" t="n">
        <v>220</v>
      </c>
      <c r="H221" s="6" t="n">
        <v>223</v>
      </c>
      <c r="I221" s="6" t="inlineStr">
        <is>
          <t>***网络科技有限公司</t>
        </is>
      </c>
      <c r="J221" s="6" t="b">
        <v>0</v>
      </c>
    </row>
    <row r="222">
      <c r="A222" s="6" t="inlineStr">
        <is>
          <t>E249</t>
        </is>
      </c>
      <c r="B222" s="6" t="n">
        <v>0.1756387851910534</v>
      </c>
      <c r="C222" s="6" t="inlineStr">
        <is>
          <t>B</t>
        </is>
      </c>
      <c r="D222" s="6" t="n">
        <v>0.6247172503498879</v>
      </c>
      <c r="E222" s="6" t="n">
        <v>0.1242867730944113</v>
      </c>
      <c r="F222" s="6" t="n">
        <v>0.2068949111431077</v>
      </c>
      <c r="G222" s="6" t="n">
        <v>221</v>
      </c>
      <c r="H222" s="6" t="n">
        <v>200</v>
      </c>
      <c r="I222" s="6" t="inlineStr">
        <is>
          <t>***建筑工程有限公司</t>
        </is>
      </c>
      <c r="J222" s="6" t="b">
        <v>0</v>
      </c>
    </row>
    <row r="223">
      <c r="A223" s="6" t="inlineStr">
        <is>
          <t>E192</t>
        </is>
      </c>
      <c r="B223" s="6" t="n">
        <v>0.176832069108543</v>
      </c>
      <c r="C223" s="6" t="inlineStr">
        <is>
          <t>B</t>
        </is>
      </c>
      <c r="D223" s="6" t="n">
        <v>0.6253115337944051</v>
      </c>
      <c r="E223" s="6" t="n">
        <v>0.1180621184387196</v>
      </c>
      <c r="F223" s="6" t="n">
        <v>0.1970319639447447</v>
      </c>
      <c r="G223" s="6" t="n">
        <v>222</v>
      </c>
      <c r="H223" s="6" t="n">
        <v>198</v>
      </c>
      <c r="I223" s="6" t="inlineStr">
        <is>
          <t>***建设工程有限公司</t>
        </is>
      </c>
      <c r="J223" s="6" t="b">
        <v>0</v>
      </c>
    </row>
    <row r="224">
      <c r="A224" s="6" t="inlineStr">
        <is>
          <t>E296</t>
        </is>
      </c>
      <c r="B224" s="6" t="n">
        <v>0.1921129378136397</v>
      </c>
      <c r="C224" s="6" t="inlineStr">
        <is>
          <t>B</t>
        </is>
      </c>
      <c r="D224" s="6" t="n">
        <v>0.6497098965366014</v>
      </c>
      <c r="E224" s="6" t="n">
        <v>0.1065618805971012</v>
      </c>
      <c r="F224" s="6" t="n">
        <v>0.1976484854494969</v>
      </c>
      <c r="G224" s="6" t="n">
        <v>223</v>
      </c>
      <c r="H224" s="6" t="n">
        <v>180</v>
      </c>
      <c r="I224" s="6" t="inlineStr">
        <is>
          <t>***装饰设计工程有限公司</t>
        </is>
      </c>
      <c r="J224" s="6" t="b">
        <v>0</v>
      </c>
    </row>
    <row r="225">
      <c r="A225" s="6" t="inlineStr">
        <is>
          <t>E367</t>
        </is>
      </c>
      <c r="B225" s="6" t="n">
        <v>0.192989717828151</v>
      </c>
      <c r="C225" s="6" t="inlineStr">
        <is>
          <t>B</t>
        </is>
      </c>
      <c r="D225" s="6" t="n">
        <v>0.5649302413918019</v>
      </c>
      <c r="E225" s="6" t="n">
        <v>0.145230904967505</v>
      </c>
      <c r="F225" s="6" t="n">
        <v>0.188579712971336</v>
      </c>
      <c r="G225" s="6" t="n">
        <v>224</v>
      </c>
      <c r="H225" s="6" t="n">
        <v>253</v>
      </c>
      <c r="I225" s="6" t="inlineStr">
        <is>
          <t>***电子商务有限公司</t>
        </is>
      </c>
      <c r="J225" s="6" t="b">
        <v>0</v>
      </c>
    </row>
    <row r="226">
      <c r="A226" s="6" t="inlineStr">
        <is>
          <t>E335</t>
        </is>
      </c>
      <c r="B226" s="6" t="n">
        <v>0.1972350938716716</v>
      </c>
      <c r="C226" s="6" t="inlineStr">
        <is>
          <t>B</t>
        </is>
      </c>
      <c r="D226" s="6" t="n">
        <v>0.6536578775031683</v>
      </c>
      <c r="E226" s="6" t="n">
        <v>0.1064717606443807</v>
      </c>
      <c r="F226" s="6" t="n">
        <v>0.2009461181767397</v>
      </c>
      <c r="G226" s="6" t="n">
        <v>225</v>
      </c>
      <c r="H226" s="6" t="n">
        <v>178</v>
      </c>
      <c r="I226" s="6" t="inlineStr">
        <is>
          <t>***挖掘机租赁经营部</t>
        </is>
      </c>
      <c r="J226" s="6" t="b">
        <v>0</v>
      </c>
    </row>
    <row r="227">
      <c r="A227" s="6" t="inlineStr">
        <is>
          <t>E353</t>
        </is>
      </c>
      <c r="B227" s="6" t="n">
        <v>0.2035507168410176</v>
      </c>
      <c r="C227" s="6" t="inlineStr">
        <is>
          <t>C</t>
        </is>
      </c>
      <c r="D227" s="6" t="n">
        <v>0.641516700342869</v>
      </c>
      <c r="E227" s="6" t="n">
        <v>0.1162707576479679</v>
      </c>
      <c r="F227" s="6" t="n">
        <v>0.2080700352402204</v>
      </c>
      <c r="G227" s="6" t="n">
        <v>226</v>
      </c>
      <c r="H227" s="6" t="n">
        <v>186</v>
      </c>
      <c r="I227" s="6" t="inlineStr">
        <is>
          <t>***税务师事务所有限公司</t>
        </is>
      </c>
      <c r="J227" s="6" t="b">
        <v>0</v>
      </c>
    </row>
    <row r="228">
      <c r="A228" s="6" t="inlineStr">
        <is>
          <t>E233</t>
        </is>
      </c>
      <c r="B228" s="6" t="n">
        <v>0.2080080709474971</v>
      </c>
      <c r="C228" s="6" t="inlineStr">
        <is>
          <t>C</t>
        </is>
      </c>
      <c r="D228" s="6" t="n">
        <v>0.6900744749997154</v>
      </c>
      <c r="E228" s="6" t="n">
        <v>0.1028144055976734</v>
      </c>
      <c r="F228" s="6" t="n">
        <v>0.2289246649341228</v>
      </c>
      <c r="G228" s="6" t="n">
        <v>227</v>
      </c>
      <c r="H228" s="6" t="n">
        <v>130</v>
      </c>
      <c r="I228" s="6" t="inlineStr">
        <is>
          <t>***劳务有限公司</t>
        </is>
      </c>
      <c r="J228" s="6" t="b">
        <v>0</v>
      </c>
    </row>
    <row r="229">
      <c r="A229" s="6" t="inlineStr">
        <is>
          <t>E276</t>
        </is>
      </c>
      <c r="B229" s="6" t="n">
        <v>0.2087665386363401</v>
      </c>
      <c r="C229" s="6" t="inlineStr">
        <is>
          <t>C</t>
        </is>
      </c>
      <c r="D229" s="6" t="n">
        <v>0.65669199026145</v>
      </c>
      <c r="E229" s="6" t="n">
        <v>0.1066026593920865</v>
      </c>
      <c r="F229" s="6" t="n">
        <v>0.2039134263621345</v>
      </c>
      <c r="G229" s="6" t="n">
        <v>228</v>
      </c>
      <c r="H229" s="6" t="n">
        <v>175</v>
      </c>
      <c r="I229" s="6" t="inlineStr">
        <is>
          <t>***体育设施工程有限公司</t>
        </is>
      </c>
      <c r="J229" s="6" t="b">
        <v>0</v>
      </c>
    </row>
    <row r="230">
      <c r="A230" s="6" t="inlineStr">
        <is>
          <t>E369</t>
        </is>
      </c>
      <c r="B230" s="6" t="n">
        <v>0.2114380811039406</v>
      </c>
      <c r="C230" s="6" t="inlineStr">
        <is>
          <t>C</t>
        </is>
      </c>
      <c r="D230" s="6" t="n">
        <v>0.6247304237991453</v>
      </c>
      <c r="E230" s="6" t="n">
        <v>0.1217202424340541</v>
      </c>
      <c r="F230" s="6" t="n">
        <v>0.2026339023019052</v>
      </c>
      <c r="G230" s="6" t="n">
        <v>229</v>
      </c>
      <c r="H230" s="6" t="n">
        <v>199</v>
      </c>
      <c r="I230" s="6" t="inlineStr">
        <is>
          <t>***网络技术有限公司</t>
        </is>
      </c>
      <c r="J230" s="6" t="b">
        <v>0</v>
      </c>
    </row>
    <row r="231">
      <c r="A231" s="6" t="inlineStr">
        <is>
          <t>E345</t>
        </is>
      </c>
      <c r="B231" s="6" t="n">
        <v>0.2135450255261592</v>
      </c>
      <c r="C231" s="6" t="inlineStr">
        <is>
          <t>C</t>
        </is>
      </c>
      <c r="D231" s="6" t="n">
        <v>0.6641742495317855</v>
      </c>
      <c r="E231" s="6" t="n">
        <v>0.1058806763926034</v>
      </c>
      <c r="F231" s="6" t="n">
        <v>0.2094038908122122</v>
      </c>
      <c r="G231" s="6" t="n">
        <v>230</v>
      </c>
      <c r="H231" s="6" t="n">
        <v>163</v>
      </c>
      <c r="I231" s="6" t="inlineStr">
        <is>
          <t>***科技有限公司</t>
        </is>
      </c>
      <c r="J231" s="6" t="b">
        <v>0</v>
      </c>
    </row>
    <row r="232">
      <c r="A232" s="6" t="inlineStr">
        <is>
          <t>E351</t>
        </is>
      </c>
      <c r="B232" s="6" t="n">
        <v>0.2183449415567134</v>
      </c>
      <c r="C232" s="6" t="inlineStr">
        <is>
          <t>C</t>
        </is>
      </c>
      <c r="D232" s="6" t="n">
        <v>0.620266304257853</v>
      </c>
      <c r="E232" s="6" t="n">
        <v>0.1208717916359479</v>
      </c>
      <c r="F232" s="6" t="n">
        <v>0.1974349401375322</v>
      </c>
      <c r="G232" s="6" t="n">
        <v>231</v>
      </c>
      <c r="H232" s="6" t="n">
        <v>206</v>
      </c>
      <c r="I232" s="6" t="inlineStr">
        <is>
          <t>***文化传播有限公司</t>
        </is>
      </c>
      <c r="J232" s="6" t="b">
        <v>0</v>
      </c>
    </row>
    <row r="233">
      <c r="A233" s="6" t="inlineStr">
        <is>
          <t>E347</t>
        </is>
      </c>
      <c r="B233" s="6" t="n">
        <v>0.2200271447359339</v>
      </c>
      <c r="C233" s="6" t="inlineStr">
        <is>
          <t>C</t>
        </is>
      </c>
      <c r="D233" s="6" t="n">
        <v>0.6409655507702017</v>
      </c>
      <c r="E233" s="6" t="n">
        <v>0.1156457763404652</v>
      </c>
      <c r="F233" s="6" t="n">
        <v>0.206456396831354</v>
      </c>
      <c r="G233" s="6" t="n">
        <v>232</v>
      </c>
      <c r="H233" s="6" t="n">
        <v>187</v>
      </c>
      <c r="I233" s="6" t="inlineStr">
        <is>
          <t>***不锈钢材料有限公司</t>
        </is>
      </c>
      <c r="J233" s="6" t="b">
        <v>0</v>
      </c>
    </row>
    <row r="234">
      <c r="A234" s="6" t="inlineStr">
        <is>
          <t>E331</t>
        </is>
      </c>
      <c r="B234" s="6" t="n">
        <v>0.2286713418100444</v>
      </c>
      <c r="C234" s="6" t="inlineStr">
        <is>
          <t>C</t>
        </is>
      </c>
      <c r="D234" s="6" t="n">
        <v>0.6408801141305505</v>
      </c>
      <c r="E234" s="6" t="n">
        <v>0.1145845328170326</v>
      </c>
      <c r="F234" s="6" t="n">
        <v>0.2044858871894145</v>
      </c>
      <c r="G234" s="6" t="n">
        <v>233</v>
      </c>
      <c r="H234" s="6" t="n">
        <v>188</v>
      </c>
      <c r="I234" s="6" t="inlineStr">
        <is>
          <t>***广告有限公司</t>
        </is>
      </c>
      <c r="J234" s="6" t="b">
        <v>0</v>
      </c>
    </row>
    <row r="235">
      <c r="A235" s="6" t="inlineStr">
        <is>
          <t>E400</t>
        </is>
      </c>
      <c r="B235" s="6" t="n">
        <v>0.2309816408448649</v>
      </c>
      <c r="C235" s="6" t="inlineStr">
        <is>
          <t>C</t>
        </is>
      </c>
      <c r="D235" s="6" t="n">
        <v>0.5658004719391663</v>
      </c>
      <c r="E235" s="6" t="n">
        <v>0.1464221402715153</v>
      </c>
      <c r="F235" s="6" t="n">
        <v>0.1908010274399908</v>
      </c>
      <c r="G235" s="6" t="n">
        <v>234</v>
      </c>
      <c r="H235" s="6" t="n">
        <v>252</v>
      </c>
      <c r="I235" s="6" t="inlineStr">
        <is>
          <t>***办公用品经营部</t>
        </is>
      </c>
      <c r="J235" s="6" t="b">
        <v>0</v>
      </c>
    </row>
    <row r="236">
      <c r="A236" s="6" t="inlineStr">
        <is>
          <t>E232</t>
        </is>
      </c>
      <c r="B236" s="6" t="n">
        <v>0.233180052290264</v>
      </c>
      <c r="C236" s="6" t="inlineStr">
        <is>
          <t>C</t>
        </is>
      </c>
      <c r="D236" s="6" t="n">
        <v>0.5992330268933961</v>
      </c>
      <c r="E236" s="6" t="n">
        <v>0.1315294132620313</v>
      </c>
      <c r="F236" s="6" t="n">
        <v>0.1966648294981987</v>
      </c>
      <c r="G236" s="6" t="n">
        <v>235</v>
      </c>
      <c r="H236" s="6" t="n">
        <v>226</v>
      </c>
      <c r="I236" s="6" t="inlineStr">
        <is>
          <t>***投资发展有限责任公司</t>
        </is>
      </c>
      <c r="J236" s="6" t="b">
        <v>0</v>
      </c>
    </row>
    <row r="237">
      <c r="A237" s="6" t="inlineStr">
        <is>
          <t>E412</t>
        </is>
      </c>
      <c r="B237" s="6" t="n">
        <v>0.2353933391848287</v>
      </c>
      <c r="C237" s="6" t="inlineStr">
        <is>
          <t>C</t>
        </is>
      </c>
      <c r="D237" s="6" t="n">
        <v>0.6139524122026562</v>
      </c>
      <c r="E237" s="6" t="n">
        <v>0.1275014585308706</v>
      </c>
      <c r="F237" s="6" t="n">
        <v>0.2027724832345748</v>
      </c>
      <c r="G237" s="6" t="n">
        <v>236</v>
      </c>
      <c r="H237" s="6" t="n">
        <v>212</v>
      </c>
      <c r="I237" s="6" t="inlineStr">
        <is>
          <t>***汽车贸易有限公司</t>
        </is>
      </c>
      <c r="J237" s="6" t="b">
        <v>0</v>
      </c>
    </row>
    <row r="238">
      <c r="A238" s="6" t="inlineStr">
        <is>
          <t>E323</t>
        </is>
      </c>
      <c r="B238" s="6" t="n">
        <v>0.2446720039920159</v>
      </c>
      <c r="C238" s="6" t="inlineStr">
        <is>
          <t>C</t>
        </is>
      </c>
      <c r="D238" s="6" t="n">
        <v>0.6699425008804905</v>
      </c>
      <c r="E238" s="6" t="n">
        <v>0.1023030020905442</v>
      </c>
      <c r="F238" s="6" t="n">
        <v>0.2076520886541191</v>
      </c>
      <c r="G238" s="6" t="n">
        <v>237</v>
      </c>
      <c r="H238" s="6" t="n">
        <v>159</v>
      </c>
      <c r="I238" s="6" t="inlineStr">
        <is>
          <t>***建筑装饰工程有限公司</t>
        </is>
      </c>
      <c r="J238" s="6" t="b">
        <v>0</v>
      </c>
    </row>
    <row r="239">
      <c r="A239" s="6" t="inlineStr">
        <is>
          <t>E350</t>
        </is>
      </c>
      <c r="B239" s="6" t="n">
        <v>0.2482011061531414</v>
      </c>
      <c r="C239" s="6" t="inlineStr">
        <is>
          <t>C</t>
        </is>
      </c>
      <c r="D239" s="6" t="n">
        <v>0.6609993075758169</v>
      </c>
      <c r="E239" s="6" t="n">
        <v>0.1055583400018116</v>
      </c>
      <c r="F239" s="6" t="n">
        <v>0.2058225579160284</v>
      </c>
      <c r="G239" s="6" t="n">
        <v>238</v>
      </c>
      <c r="H239" s="6" t="n">
        <v>168</v>
      </c>
      <c r="I239" s="6" t="inlineStr">
        <is>
          <t>***演艺设备有限公司</t>
        </is>
      </c>
      <c r="J239" s="6" t="b">
        <v>0</v>
      </c>
    </row>
    <row r="240">
      <c r="A240" s="6" t="inlineStr">
        <is>
          <t>E379</t>
        </is>
      </c>
      <c r="B240" s="6" t="n">
        <v>0.2584538464880226</v>
      </c>
      <c r="C240" s="6" t="inlineStr">
        <is>
          <t>C</t>
        </is>
      </c>
      <c r="D240" s="6" t="n">
        <v>0.6214080425579221</v>
      </c>
      <c r="E240" s="6" t="n">
        <v>0.1228307481399797</v>
      </c>
      <c r="F240" s="6" t="n">
        <v>0.2016102383243775</v>
      </c>
      <c r="G240" s="6" t="n">
        <v>239</v>
      </c>
      <c r="H240" s="6" t="n">
        <v>204</v>
      </c>
      <c r="I240" s="6" t="inlineStr">
        <is>
          <t>***药业有限公司</t>
        </is>
      </c>
      <c r="J240" s="6" t="b">
        <v>0</v>
      </c>
    </row>
    <row r="241">
      <c r="A241" s="6" t="inlineStr">
        <is>
          <t>E389</t>
        </is>
      </c>
      <c r="B241" s="6" t="n">
        <v>0.259512925262934</v>
      </c>
      <c r="C241" s="6" t="inlineStr">
        <is>
          <t>C</t>
        </is>
      </c>
      <c r="D241" s="6" t="n">
        <v>0.5597870153124482</v>
      </c>
      <c r="E241" s="6" t="n">
        <v>0.1519361423230091</v>
      </c>
      <c r="F241" s="6" t="n">
        <v>0.1932062037866773</v>
      </c>
      <c r="G241" s="6" t="n">
        <v>240</v>
      </c>
      <c r="H241" s="6" t="n">
        <v>255</v>
      </c>
      <c r="I241" s="6" t="inlineStr">
        <is>
          <t>***清洁服务有限公司</t>
        </is>
      </c>
      <c r="J241" s="6" t="b">
        <v>0</v>
      </c>
    </row>
    <row r="242">
      <c r="A242" s="6" t="inlineStr">
        <is>
          <t>E363</t>
        </is>
      </c>
      <c r="B242" s="6" t="n">
        <v>0.261359383821976</v>
      </c>
      <c r="C242" s="6" t="inlineStr">
        <is>
          <t>C</t>
        </is>
      </c>
      <c r="D242" s="6" t="n">
        <v>0.6285493904199223</v>
      </c>
      <c r="E242" s="6" t="n">
        <v>0.1180918038593001</v>
      </c>
      <c r="F242" s="6" t="n">
        <v>0.1998288047319795</v>
      </c>
      <c r="G242" s="6" t="n">
        <v>241</v>
      </c>
      <c r="H242" s="6" t="n">
        <v>197</v>
      </c>
      <c r="I242" s="6" t="inlineStr">
        <is>
          <t>***建筑工程设计有限公司</t>
        </is>
      </c>
      <c r="J242" s="6" t="b">
        <v>0</v>
      </c>
    </row>
    <row r="243">
      <c r="A243" s="6" t="inlineStr">
        <is>
          <t>E403</t>
        </is>
      </c>
      <c r="B243" s="6" t="n">
        <v>0.2691455092163904</v>
      </c>
      <c r="C243" s="6" t="inlineStr">
        <is>
          <t>C</t>
        </is>
      </c>
      <c r="D243" s="6" t="n">
        <v>0.6212373302897494</v>
      </c>
      <c r="E243" s="6" t="n">
        <v>0.1259434095419049</v>
      </c>
      <c r="F243" s="6" t="n">
        <v>0.2065693210243102</v>
      </c>
      <c r="G243" s="6" t="n">
        <v>242</v>
      </c>
      <c r="H243" s="6" t="n">
        <v>205</v>
      </c>
      <c r="I243" s="6" t="inlineStr">
        <is>
          <t>***机械有限公司</t>
        </is>
      </c>
      <c r="J243" s="6" t="b">
        <v>0</v>
      </c>
    </row>
    <row r="244">
      <c r="A244" s="6" t="inlineStr">
        <is>
          <t>E409</t>
        </is>
      </c>
      <c r="B244" s="6" t="n">
        <v>0.2712380138984369</v>
      </c>
      <c r="C244" s="6" t="inlineStr">
        <is>
          <t>C</t>
        </is>
      </c>
      <c r="D244" s="6" t="n">
        <v>0.599858965581021</v>
      </c>
      <c r="E244" s="6" t="n">
        <v>0.1321611541999087</v>
      </c>
      <c r="F244" s="6" t="n">
        <v>0.1981252769125917</v>
      </c>
      <c r="G244" s="6" t="n">
        <v>243</v>
      </c>
      <c r="H244" s="6" t="n">
        <v>225</v>
      </c>
      <c r="I244" s="6" t="inlineStr">
        <is>
          <t>***塑胶有限公司</t>
        </is>
      </c>
      <c r="J244" s="6" t="b">
        <v>0</v>
      </c>
    </row>
    <row r="245">
      <c r="A245" s="6" t="inlineStr">
        <is>
          <t>E293</t>
        </is>
      </c>
      <c r="B245" s="6" t="n">
        <v>0.2755144608310387</v>
      </c>
      <c r="C245" s="6" t="inlineStr">
        <is>
          <t>C</t>
        </is>
      </c>
      <c r="D245" s="6" t="n">
        <v>0.6180334962965813</v>
      </c>
      <c r="E245" s="6" t="n">
        <v>0.1206463155213185</v>
      </c>
      <c r="F245" s="6" t="n">
        <v>0.1952094319109103</v>
      </c>
      <c r="G245" s="6" t="n">
        <v>244</v>
      </c>
      <c r="H245" s="6" t="n">
        <v>207</v>
      </c>
      <c r="I245" s="6" t="inlineStr">
        <is>
          <t>***物资有限公司</t>
        </is>
      </c>
      <c r="J245" s="6" t="b">
        <v>0</v>
      </c>
    </row>
    <row r="246">
      <c r="A246" s="6" t="inlineStr">
        <is>
          <t>E324</t>
        </is>
      </c>
      <c r="B246" s="6" t="n">
        <v>0.2827724170314503</v>
      </c>
      <c r="C246" s="6" t="inlineStr">
        <is>
          <t>C</t>
        </is>
      </c>
      <c r="D246" s="6" t="n">
        <v>0.4789334280141597</v>
      </c>
      <c r="E246" s="6" t="n">
        <v>0.1845520025227158</v>
      </c>
      <c r="F246" s="6" t="n">
        <v>0.1696292335127651</v>
      </c>
      <c r="G246" s="6" t="n">
        <v>245</v>
      </c>
      <c r="H246" s="6" t="n">
        <v>289</v>
      </c>
      <c r="I246" s="6" t="inlineStr">
        <is>
          <t>***汽贸有限公司</t>
        </is>
      </c>
      <c r="J246" s="6" t="b">
        <v>0</v>
      </c>
    </row>
    <row r="247">
      <c r="A247" s="6" t="inlineStr">
        <is>
          <t>E362</t>
        </is>
      </c>
      <c r="B247" s="6" t="n">
        <v>0.3013264139236129</v>
      </c>
      <c r="C247" s="6" t="inlineStr">
        <is>
          <t>C</t>
        </is>
      </c>
      <c r="D247" s="6" t="n">
        <v>0.5765258013562131</v>
      </c>
      <c r="E247" s="6" t="n">
        <v>0.1414329026330095</v>
      </c>
      <c r="F247" s="6" t="n">
        <v>0.1925494346285302</v>
      </c>
      <c r="G247" s="6" t="n">
        <v>246</v>
      </c>
      <c r="H247" s="6" t="n">
        <v>244</v>
      </c>
      <c r="I247" s="6" t="inlineStr">
        <is>
          <t>***建材有限公司</t>
        </is>
      </c>
      <c r="J247" s="6" t="b">
        <v>0</v>
      </c>
    </row>
    <row r="248">
      <c r="A248" s="6" t="inlineStr">
        <is>
          <t>E395</t>
        </is>
      </c>
      <c r="B248" s="6" t="n">
        <v>0.3020274060329839</v>
      </c>
      <c r="C248" s="6" t="inlineStr">
        <is>
          <t>C</t>
        </is>
      </c>
      <c r="D248" s="6" t="n">
        <v>0.6006812532041108</v>
      </c>
      <c r="E248" s="6" t="n">
        <v>0.1341912883048706</v>
      </c>
      <c r="F248" s="6" t="n">
        <v>0.2018592712584203</v>
      </c>
      <c r="G248" s="6" t="n">
        <v>247</v>
      </c>
      <c r="H248" s="6" t="n">
        <v>221</v>
      </c>
      <c r="I248" s="6" t="inlineStr">
        <is>
          <t>***网络科技有限公司</t>
        </is>
      </c>
      <c r="J248" s="6" t="b">
        <v>0</v>
      </c>
    </row>
    <row r="249">
      <c r="A249" s="6" t="inlineStr">
        <is>
          <t>E297</t>
        </is>
      </c>
      <c r="B249" s="6" t="n">
        <v>0.3023245740474428</v>
      </c>
      <c r="C249" s="6" t="inlineStr">
        <is>
          <t>C</t>
        </is>
      </c>
      <c r="D249" s="6" t="n">
        <v>0.5907729447122785</v>
      </c>
      <c r="E249" s="6" t="n">
        <v>0.1313799159352259</v>
      </c>
      <c r="F249" s="6" t="n">
        <v>0.1896641456380115</v>
      </c>
      <c r="G249" s="6" t="n">
        <v>248</v>
      </c>
      <c r="H249" s="6" t="n">
        <v>231</v>
      </c>
      <c r="I249" s="6" t="inlineStr">
        <is>
          <t>***建筑机械租赁有限公司</t>
        </is>
      </c>
      <c r="J249" s="6" t="b">
        <v>0</v>
      </c>
    </row>
    <row r="250">
      <c r="A250" s="6" t="inlineStr">
        <is>
          <t>E366</t>
        </is>
      </c>
      <c r="B250" s="6" t="n">
        <v>0.3058100569018604</v>
      </c>
      <c r="C250" s="6" t="inlineStr">
        <is>
          <t>C</t>
        </is>
      </c>
      <c r="D250" s="6" t="n">
        <v>0.5647633403194761</v>
      </c>
      <c r="E250" s="6" t="n">
        <v>0.1450382933596849</v>
      </c>
      <c r="F250" s="6" t="n">
        <v>0.1882017730128195</v>
      </c>
      <c r="G250" s="6" t="n">
        <v>249</v>
      </c>
      <c r="H250" s="6" t="n">
        <v>254</v>
      </c>
      <c r="I250" s="6" t="inlineStr">
        <is>
          <t>***房地产经纪有限公司</t>
        </is>
      </c>
      <c r="J250" s="6" t="b">
        <v>0</v>
      </c>
    </row>
    <row r="251">
      <c r="A251" s="6" t="inlineStr">
        <is>
          <t>E407</t>
        </is>
      </c>
      <c r="B251" s="6" t="n">
        <v>0.3070265209249267</v>
      </c>
      <c r="C251" s="6" t="inlineStr">
        <is>
          <t>C</t>
        </is>
      </c>
      <c r="D251" s="6" t="n">
        <v>0.6244786294369015</v>
      </c>
      <c r="E251" s="6" t="n">
        <v>0.1202017470630364</v>
      </c>
      <c r="F251" s="6" t="n">
        <v>0.1998912129802031</v>
      </c>
      <c r="G251" s="6" t="n">
        <v>250</v>
      </c>
      <c r="H251" s="6" t="n">
        <v>201</v>
      </c>
      <c r="I251" s="6" t="inlineStr">
        <is>
          <t>***装饰工程有限公司</t>
        </is>
      </c>
      <c r="J251" s="6" t="b">
        <v>0</v>
      </c>
    </row>
    <row r="252">
      <c r="A252" s="6" t="inlineStr">
        <is>
          <t>E361</t>
        </is>
      </c>
      <c r="B252" s="6" t="n">
        <v>0.3139520657399521</v>
      </c>
      <c r="C252" s="6" t="inlineStr">
        <is>
          <t>C</t>
        </is>
      </c>
      <c r="D252" s="6" t="n">
        <v>0.6121812065019347</v>
      </c>
      <c r="E252" s="6" t="n">
        <v>0.1221516275673507</v>
      </c>
      <c r="F252" s="6" t="n">
        <v>0.1928192547500378</v>
      </c>
      <c r="G252" s="6" t="n">
        <v>251</v>
      </c>
      <c r="H252" s="6" t="n">
        <v>213</v>
      </c>
      <c r="I252" s="6" t="inlineStr">
        <is>
          <t>***勘察设计工程有限公司</t>
        </is>
      </c>
      <c r="J252" s="6" t="b">
        <v>0</v>
      </c>
    </row>
    <row r="253">
      <c r="A253" s="6" t="inlineStr">
        <is>
          <t>E218</t>
        </is>
      </c>
      <c r="B253" s="6" t="n">
        <v>0.3251757552314864</v>
      </c>
      <c r="C253" s="6" t="inlineStr">
        <is>
          <t>C</t>
        </is>
      </c>
      <c r="D253" s="6" t="n">
        <v>0.5349745795604217</v>
      </c>
      <c r="E253" s="6" t="n">
        <v>0.1532922059157358</v>
      </c>
      <c r="F253" s="6" t="n">
        <v>0.1763504311917841</v>
      </c>
      <c r="G253" s="6" t="n">
        <v>252</v>
      </c>
      <c r="H253" s="6" t="n">
        <v>269</v>
      </c>
      <c r="I253" s="6" t="inlineStr">
        <is>
          <t>***建设工程有限公司</t>
        </is>
      </c>
      <c r="J253" s="6" t="b">
        <v>0</v>
      </c>
    </row>
    <row r="254">
      <c r="A254" s="6" t="inlineStr">
        <is>
          <t>E383</t>
        </is>
      </c>
      <c r="B254" s="6" t="n">
        <v>0.3283354696535811</v>
      </c>
      <c r="C254" s="6" t="inlineStr">
        <is>
          <t>C</t>
        </is>
      </c>
      <c r="D254" s="6" t="n">
        <v>0.5378613134812951</v>
      </c>
      <c r="E254" s="6" t="n">
        <v>0.1536498009866505</v>
      </c>
      <c r="F254" s="6" t="n">
        <v>0.1788257209050479</v>
      </c>
      <c r="G254" s="6" t="n">
        <v>253</v>
      </c>
      <c r="H254" s="6" t="n">
        <v>266</v>
      </c>
      <c r="I254" s="6" t="inlineStr">
        <is>
          <t>***通讯器材经营部</t>
        </is>
      </c>
      <c r="J254" s="6" t="b">
        <v>0</v>
      </c>
    </row>
    <row r="255">
      <c r="A255" s="6" t="inlineStr">
        <is>
          <t>E386</t>
        </is>
      </c>
      <c r="B255" s="6" t="n">
        <v>0.3307346975525242</v>
      </c>
      <c r="C255" s="6" t="inlineStr">
        <is>
          <t>C</t>
        </is>
      </c>
      <c r="D255" s="6" t="n">
        <v>0.6005362604217467</v>
      </c>
      <c r="E255" s="6" t="n">
        <v>0.1325653279487723</v>
      </c>
      <c r="F255" s="6" t="n">
        <v>0.1992928980036819</v>
      </c>
      <c r="G255" s="6" t="n">
        <v>254</v>
      </c>
      <c r="H255" s="6" t="n">
        <v>222</v>
      </c>
      <c r="I255" s="6" t="inlineStr">
        <is>
          <t xml:space="preserve">个体经营E386 </t>
        </is>
      </c>
      <c r="J255" s="6" t="b">
        <v>0</v>
      </c>
    </row>
    <row r="256">
      <c r="A256" s="6" t="inlineStr">
        <is>
          <t>E320</t>
        </is>
      </c>
      <c r="B256" s="6" t="n">
        <v>0.3388030447409975</v>
      </c>
      <c r="C256" s="6" t="inlineStr">
        <is>
          <t>C</t>
        </is>
      </c>
      <c r="D256" s="6" t="n">
        <v>0.5839294448320695</v>
      </c>
      <c r="E256" s="6" t="n">
        <v>0.1351009076211233</v>
      </c>
      <c r="F256" s="6" t="n">
        <v>0.1896058180605225</v>
      </c>
      <c r="G256" s="6" t="n">
        <v>255</v>
      </c>
      <c r="H256" s="6" t="n">
        <v>237</v>
      </c>
      <c r="I256" s="6" t="inlineStr">
        <is>
          <t>***建筑设计有限公司</t>
        </is>
      </c>
      <c r="J256" s="6" t="b">
        <v>0</v>
      </c>
    </row>
    <row r="257">
      <c r="A257" s="6" t="inlineStr">
        <is>
          <t>E307</t>
        </is>
      </c>
      <c r="B257" s="6" t="n">
        <v>0.3435042539534332</v>
      </c>
      <c r="C257" s="6" t="inlineStr">
        <is>
          <t>C</t>
        </is>
      </c>
      <c r="D257" s="6" t="n">
        <v>0.6119538236392901</v>
      </c>
      <c r="E257" s="6" t="n">
        <v>0.1265921957027503</v>
      </c>
      <c r="F257" s="6" t="n">
        <v>0.1996375249196634</v>
      </c>
      <c r="G257" s="6" t="n">
        <v>256</v>
      </c>
      <c r="H257" s="6" t="n">
        <v>214</v>
      </c>
      <c r="I257" s="6" t="inlineStr">
        <is>
          <t>***通信工程有限公司</t>
        </is>
      </c>
      <c r="J257" s="6" t="b">
        <v>0</v>
      </c>
    </row>
    <row r="258">
      <c r="A258" s="6" t="inlineStr">
        <is>
          <t>E365</t>
        </is>
      </c>
      <c r="B258" s="6" t="n">
        <v>0.35072915706738</v>
      </c>
      <c r="C258" s="6" t="inlineStr">
        <is>
          <t>C</t>
        </is>
      </c>
      <c r="D258" s="6" t="n">
        <v>0.5839669200410965</v>
      </c>
      <c r="E258" s="6" t="n">
        <v>0.1356058707298333</v>
      </c>
      <c r="F258" s="6" t="n">
        <v>0.1903438608233131</v>
      </c>
      <c r="G258" s="6" t="n">
        <v>257</v>
      </c>
      <c r="H258" s="6" t="n">
        <v>236</v>
      </c>
      <c r="I258" s="6" t="inlineStr">
        <is>
          <t>***信息技术有限公司</t>
        </is>
      </c>
      <c r="J258" s="6" t="b">
        <v>0</v>
      </c>
    </row>
    <row r="259">
      <c r="A259" s="6" t="inlineStr">
        <is>
          <t>E398</t>
        </is>
      </c>
      <c r="B259" s="6" t="n">
        <v>0.3524381921142363</v>
      </c>
      <c r="C259" s="6" t="inlineStr">
        <is>
          <t>C</t>
        </is>
      </c>
      <c r="D259" s="6" t="n">
        <v>0.6163358015268665</v>
      </c>
      <c r="E259" s="6" t="n">
        <v>0.1276465683617133</v>
      </c>
      <c r="F259" s="6" t="n">
        <v>0.2050573140169598</v>
      </c>
      <c r="G259" s="6" t="n">
        <v>258</v>
      </c>
      <c r="H259" s="6" t="n">
        <v>210</v>
      </c>
      <c r="I259" s="6" t="inlineStr">
        <is>
          <t>***医疗管理咨询有限公司</t>
        </is>
      </c>
      <c r="J259" s="6" t="b">
        <v>0</v>
      </c>
    </row>
    <row r="260">
      <c r="A260" s="6" t="inlineStr">
        <is>
          <t>E352</t>
        </is>
      </c>
      <c r="B260" s="6" t="n">
        <v>0.3526378594232936</v>
      </c>
      <c r="C260" s="6" t="inlineStr">
        <is>
          <t>C</t>
        </is>
      </c>
      <c r="D260" s="6" t="n">
        <v>0.4577716892109371</v>
      </c>
      <c r="E260" s="6" t="n">
        <v>0.1904145641194364</v>
      </c>
      <c r="F260" s="6" t="n">
        <v>0.1607558936575484</v>
      </c>
      <c r="G260" s="6" t="n">
        <v>259</v>
      </c>
      <c r="H260" s="6" t="n">
        <v>291</v>
      </c>
      <c r="I260" s="6" t="inlineStr">
        <is>
          <t>***居装饰工程有限公司</t>
        </is>
      </c>
      <c r="J260" s="6" t="b">
        <v>0</v>
      </c>
    </row>
    <row r="261">
      <c r="A261" s="6" t="inlineStr">
        <is>
          <t>E397</t>
        </is>
      </c>
      <c r="B261" s="6" t="n">
        <v>0.3666642954309665</v>
      </c>
      <c r="C261" s="6" t="inlineStr">
        <is>
          <t>C</t>
        </is>
      </c>
      <c r="D261" s="6" t="n">
        <v>0.5286564045623064</v>
      </c>
      <c r="E261" s="6" t="n">
        <v>0.1547385311637787</v>
      </c>
      <c r="F261" s="6" t="n">
        <v>0.1735538921587176</v>
      </c>
      <c r="G261" s="6" t="n">
        <v>260</v>
      </c>
      <c r="H261" s="6" t="n">
        <v>272</v>
      </c>
      <c r="I261" s="6" t="inlineStr">
        <is>
          <t>***大闸蟹经营部</t>
        </is>
      </c>
      <c r="J261" s="6" t="b">
        <v>0</v>
      </c>
    </row>
    <row r="262">
      <c r="A262" s="6" t="inlineStr">
        <is>
          <t>E377</t>
        </is>
      </c>
      <c r="B262" s="6" t="n">
        <v>0.386642218763923</v>
      </c>
      <c r="C262" s="6" t="inlineStr">
        <is>
          <t>C</t>
        </is>
      </c>
      <c r="D262" s="6" t="n">
        <v>0.6001884624830083</v>
      </c>
      <c r="E262" s="6" t="n">
        <v>0.1292956313496814</v>
      </c>
      <c r="F262" s="6" t="n">
        <v>0.1940958149118874</v>
      </c>
      <c r="G262" s="6" t="n">
        <v>261</v>
      </c>
      <c r="H262" s="6" t="n">
        <v>224</v>
      </c>
      <c r="I262" s="6" t="inlineStr">
        <is>
          <t>***文化传播有限公司</t>
        </is>
      </c>
      <c r="J262" s="6" t="b">
        <v>0</v>
      </c>
    </row>
    <row r="263">
      <c r="A263" s="6" t="inlineStr">
        <is>
          <t>E371</t>
        </is>
      </c>
      <c r="B263" s="6" t="n">
        <v>0.3933005207704237</v>
      </c>
      <c r="C263" s="6" t="inlineStr">
        <is>
          <t>C</t>
        </is>
      </c>
      <c r="D263" s="6" t="n">
        <v>0.5746439280471473</v>
      </c>
      <c r="E263" s="6" t="n">
        <v>0.1390274975647753</v>
      </c>
      <c r="F263" s="6" t="n">
        <v>0.1878221861049229</v>
      </c>
      <c r="G263" s="6" t="n">
        <v>262</v>
      </c>
      <c r="H263" s="6" t="n">
        <v>247</v>
      </c>
      <c r="I263" s="6" t="inlineStr">
        <is>
          <t>***自动化科技有限公司</t>
        </is>
      </c>
      <c r="J263" s="6" t="b">
        <v>0</v>
      </c>
    </row>
    <row r="264">
      <c r="A264" s="6" t="inlineStr">
        <is>
          <t>E376</t>
        </is>
      </c>
      <c r="B264" s="6" t="n">
        <v>0.4026008393263854</v>
      </c>
      <c r="C264" s="6" t="inlineStr">
        <is>
          <t>D</t>
        </is>
      </c>
      <c r="D264" s="6" t="n">
        <v>0.5540660207500092</v>
      </c>
      <c r="E264" s="6" t="n">
        <v>0.1497119980590872</v>
      </c>
      <c r="F264" s="6" t="n">
        <v>0.1860148248012955</v>
      </c>
      <c r="G264" s="6" t="n">
        <v>263</v>
      </c>
      <c r="H264" s="6" t="n">
        <v>259</v>
      </c>
      <c r="I264" s="6" t="inlineStr">
        <is>
          <t>***建筑装饰设计有限责任公司</t>
        </is>
      </c>
      <c r="J264" s="6" t="b">
        <v>1</v>
      </c>
    </row>
    <row r="265">
      <c r="A265" s="6" t="inlineStr">
        <is>
          <t>E378</t>
        </is>
      </c>
      <c r="B265" s="6" t="n">
        <v>0.4230536774318728</v>
      </c>
      <c r="C265" s="6" t="inlineStr">
        <is>
          <t>D</t>
        </is>
      </c>
      <c r="D265" s="6" t="n">
        <v>0.5055084930359411</v>
      </c>
      <c r="E265" s="6" t="n">
        <v>0.158489252137621</v>
      </c>
      <c r="F265" s="6" t="n">
        <v>0.162020301425127</v>
      </c>
      <c r="G265" s="6" t="n">
        <v>264</v>
      </c>
      <c r="H265" s="6" t="n">
        <v>279</v>
      </c>
      <c r="I265" s="6" t="inlineStr">
        <is>
          <t>***商贸有限公司</t>
        </is>
      </c>
      <c r="J265" s="6" t="b">
        <v>1</v>
      </c>
    </row>
    <row r="266">
      <c r="A266" s="6" t="inlineStr">
        <is>
          <t>E408</t>
        </is>
      </c>
      <c r="B266" s="6" t="n">
        <v>0.4444967090652094</v>
      </c>
      <c r="C266" s="6" t="inlineStr">
        <is>
          <t>D</t>
        </is>
      </c>
      <c r="D266" s="6" t="n">
        <v>0.5706880360816925</v>
      </c>
      <c r="E266" s="6" t="n">
        <v>0.1414760516991307</v>
      </c>
      <c r="F266" s="6" t="n">
        <v>0.1880653158599895</v>
      </c>
      <c r="G266" s="6" t="n">
        <v>265</v>
      </c>
      <c r="H266" s="6" t="n">
        <v>248</v>
      </c>
      <c r="I266" s="6" t="inlineStr">
        <is>
          <t>***空调制冷有限责任公司</t>
        </is>
      </c>
      <c r="J266" s="6" t="b">
        <v>1</v>
      </c>
    </row>
    <row r="267">
      <c r="A267" s="6" t="inlineStr">
        <is>
          <t>E349</t>
        </is>
      </c>
      <c r="B267" s="6" t="n">
        <v>0.4544389367361993</v>
      </c>
      <c r="C267" s="6" t="inlineStr">
        <is>
          <t>D</t>
        </is>
      </c>
      <c r="D267" s="6" t="n">
        <v>0.528556946694696</v>
      </c>
      <c r="E267" s="6" t="n">
        <v>0.1682140557970535</v>
      </c>
      <c r="F267" s="6" t="n">
        <v>0.1885926775246039</v>
      </c>
      <c r="G267" s="6" t="n">
        <v>266</v>
      </c>
      <c r="H267" s="6" t="n">
        <v>273</v>
      </c>
      <c r="I267" s="6" t="inlineStr">
        <is>
          <t>***营销策划广告有限公司</t>
        </is>
      </c>
      <c r="J267" s="6" t="b">
        <v>1</v>
      </c>
    </row>
    <row r="268">
      <c r="A268" s="6" t="inlineStr">
        <is>
          <t>E380</t>
        </is>
      </c>
      <c r="B268" s="6" t="n">
        <v>0.4623451006979057</v>
      </c>
      <c r="C268" s="6" t="inlineStr">
        <is>
          <t>D</t>
        </is>
      </c>
      <c r="D268" s="6" t="n">
        <v>0.5288852180552697</v>
      </c>
      <c r="E268" s="6" t="n">
        <v>0.1608809117018252</v>
      </c>
      <c r="F268" s="6" t="n">
        <v>0.1806089287097185</v>
      </c>
      <c r="G268" s="6" t="n">
        <v>267</v>
      </c>
      <c r="H268" s="6" t="n">
        <v>271</v>
      </c>
      <c r="I268" s="6" t="inlineStr">
        <is>
          <t>***建材有限公司</t>
        </is>
      </c>
      <c r="J268" s="6" t="b">
        <v>1</v>
      </c>
    </row>
    <row r="269">
      <c r="A269" s="6" t="inlineStr">
        <is>
          <t>E422</t>
        </is>
      </c>
      <c r="B269" s="6" t="n">
        <v>0.5080286998066487</v>
      </c>
      <c r="C269" s="6" t="inlineStr">
        <is>
          <t>D</t>
        </is>
      </c>
      <c r="D269" s="6" t="n">
        <v>0.5669829792160676</v>
      </c>
      <c r="E269" s="6" t="n">
        <v>0.1481835180872862</v>
      </c>
      <c r="F269" s="6" t="n">
        <v>0.1940282449030353</v>
      </c>
      <c r="G269" s="6" t="n">
        <v>268</v>
      </c>
      <c r="H269" s="6" t="n">
        <v>250</v>
      </c>
      <c r="I269" s="6" t="inlineStr">
        <is>
          <t>***童装店</t>
        </is>
      </c>
      <c r="J269" s="6" t="b">
        <v>1</v>
      </c>
    </row>
    <row r="270">
      <c r="A270" s="6" t="inlineStr">
        <is>
          <t>E396</t>
        </is>
      </c>
      <c r="B270" s="6" t="n">
        <v>0.5096055632469612</v>
      </c>
      <c r="C270" s="6" t="inlineStr">
        <is>
          <t>D</t>
        </is>
      </c>
      <c r="D270" s="6" t="n">
        <v>0.5679673772018784</v>
      </c>
      <c r="E270" s="6" t="n">
        <v>0.1393735517447781</v>
      </c>
      <c r="F270" s="6" t="n">
        <v>0.183226049280962</v>
      </c>
      <c r="G270" s="6" t="n">
        <v>269</v>
      </c>
      <c r="H270" s="6" t="n">
        <v>249</v>
      </c>
      <c r="I270" s="6" t="inlineStr">
        <is>
          <t>***文化传播有限公司</t>
        </is>
      </c>
      <c r="J270" s="6" t="b">
        <v>1</v>
      </c>
    </row>
    <row r="271">
      <c r="A271" s="6" t="inlineStr">
        <is>
          <t>E399</t>
        </is>
      </c>
      <c r="B271" s="6" t="n">
        <v>0.5097437356672883</v>
      </c>
      <c r="C271" s="6" t="inlineStr">
        <is>
          <t>D</t>
        </is>
      </c>
      <c r="D271" s="6" t="n">
        <v>0.5787299551455131</v>
      </c>
      <c r="E271" s="6" t="n">
        <v>0.1444363414041692</v>
      </c>
      <c r="F271" s="6" t="n">
        <v>0.1984229318063429</v>
      </c>
      <c r="G271" s="6" t="n">
        <v>270</v>
      </c>
      <c r="H271" s="6" t="n">
        <v>241</v>
      </c>
      <c r="I271" s="6" t="inlineStr">
        <is>
          <t>***装饰工程有限公司</t>
        </is>
      </c>
      <c r="J271" s="6" t="b">
        <v>1</v>
      </c>
    </row>
    <row r="272">
      <c r="A272" s="6" t="inlineStr">
        <is>
          <t>E411</t>
        </is>
      </c>
      <c r="B272" s="6" t="n">
        <v>0.5108599513751324</v>
      </c>
      <c r="C272" s="6" t="inlineStr">
        <is>
          <t>D</t>
        </is>
      </c>
      <c r="D272" s="6" t="n">
        <v>0.549942753996312</v>
      </c>
      <c r="E272" s="6" t="n">
        <v>0.1418211134575694</v>
      </c>
      <c r="F272" s="6" t="n">
        <v>0.1732968292416739</v>
      </c>
      <c r="G272" s="6" t="n">
        <v>271</v>
      </c>
      <c r="H272" s="6" t="n">
        <v>262</v>
      </c>
      <c r="I272" s="6" t="inlineStr">
        <is>
          <t>***机电设备有限公司</t>
        </is>
      </c>
      <c r="J272" s="6" t="b">
        <v>1</v>
      </c>
    </row>
    <row r="273">
      <c r="A273" s="6" t="inlineStr">
        <is>
          <t>E384</t>
        </is>
      </c>
      <c r="B273" s="6" t="n">
        <v>0.526670379324387</v>
      </c>
      <c r="C273" s="6" t="inlineStr">
        <is>
          <t>D</t>
        </is>
      </c>
      <c r="D273" s="6" t="n">
        <v>0.4936573573732296</v>
      </c>
      <c r="E273" s="6" t="n">
        <v>0.1671208936862944</v>
      </c>
      <c r="F273" s="6" t="n">
        <v>0.1629340525440208</v>
      </c>
      <c r="G273" s="6" t="n">
        <v>272</v>
      </c>
      <c r="H273" s="6" t="n">
        <v>285</v>
      </c>
      <c r="I273" s="6" t="inlineStr">
        <is>
          <t xml:space="preserve">个体经营E384 </t>
        </is>
      </c>
      <c r="J273" s="6" t="b">
        <v>1</v>
      </c>
    </row>
    <row r="274">
      <c r="A274" s="6" t="inlineStr">
        <is>
          <t>E336</t>
        </is>
      </c>
      <c r="B274" s="6" t="n">
        <v>0.5293121427385699</v>
      </c>
      <c r="C274" s="6" t="inlineStr">
        <is>
          <t>D</t>
        </is>
      </c>
      <c r="D274" s="6" t="n">
        <v>0.5356559180043756</v>
      </c>
      <c r="E274" s="6" t="n">
        <v>0.160296418468637</v>
      </c>
      <c r="F274" s="6" t="n">
        <v>0.1849140077733142</v>
      </c>
      <c r="G274" s="6" t="n">
        <v>273</v>
      </c>
      <c r="H274" s="6" t="n">
        <v>267</v>
      </c>
      <c r="I274" s="6" t="inlineStr">
        <is>
          <t>***猕猴桃专业合作社</t>
        </is>
      </c>
      <c r="J274" s="6" t="b">
        <v>1</v>
      </c>
    </row>
    <row r="275">
      <c r="A275" s="6" t="inlineStr">
        <is>
          <t>E390</t>
        </is>
      </c>
      <c r="B275" s="6" t="n">
        <v>0.5377610365102041</v>
      </c>
      <c r="C275" s="6" t="inlineStr">
        <is>
          <t>D</t>
        </is>
      </c>
      <c r="D275" s="6" t="n">
        <v>0.5352940888175631</v>
      </c>
      <c r="E275" s="6" t="n">
        <v>0.1614985740045085</v>
      </c>
      <c r="F275" s="6" t="n">
        <v>0.1860299814071882</v>
      </c>
      <c r="G275" s="6" t="n">
        <v>274</v>
      </c>
      <c r="H275" s="6" t="n">
        <v>268</v>
      </c>
      <c r="I275" s="6" t="inlineStr">
        <is>
          <t>***建筑工程有限公司</t>
        </is>
      </c>
      <c r="J275" s="6" t="b">
        <v>1</v>
      </c>
    </row>
    <row r="276">
      <c r="A276" s="6" t="inlineStr">
        <is>
          <t>E291</t>
        </is>
      </c>
      <c r="B276" s="6" t="n">
        <v>0.5559934352612516</v>
      </c>
      <c r="C276" s="6" t="inlineStr">
        <is>
          <t>D</t>
        </is>
      </c>
      <c r="D276" s="6" t="n">
        <v>0.4323655160550415</v>
      </c>
      <c r="E276" s="6" t="n">
        <v>0.1864482042913851</v>
      </c>
      <c r="F276" s="6" t="n">
        <v>0.1420170485516122</v>
      </c>
      <c r="G276" s="6" t="n">
        <v>275</v>
      </c>
      <c r="H276" s="6" t="n">
        <v>299</v>
      </c>
      <c r="I276" s="6" t="inlineStr">
        <is>
          <t>***文业建设工程有限公司</t>
        </is>
      </c>
      <c r="J276" s="6" t="b">
        <v>1</v>
      </c>
    </row>
    <row r="277">
      <c r="A277" s="6" t="inlineStr">
        <is>
          <t>E360</t>
        </is>
      </c>
      <c r="B277" s="6" t="n">
        <v>0.5609139296509208</v>
      </c>
      <c r="C277" s="6" t="inlineStr">
        <is>
          <t>D</t>
        </is>
      </c>
      <c r="D277" s="6" t="n">
        <v>0.5114398679105747</v>
      </c>
      <c r="E277" s="6" t="n">
        <v>0.1754952960124377</v>
      </c>
      <c r="F277" s="6" t="n">
        <v>0.1837139076978546</v>
      </c>
      <c r="G277" s="6" t="n">
        <v>276</v>
      </c>
      <c r="H277" s="6" t="n">
        <v>277</v>
      </c>
      <c r="I277" s="6" t="inlineStr">
        <is>
          <t>***建筑劳务有限公司</t>
        </is>
      </c>
      <c r="J277" s="6" t="b">
        <v>1</v>
      </c>
    </row>
    <row r="278">
      <c r="A278" s="6" t="inlineStr">
        <is>
          <t>E406</t>
        </is>
      </c>
      <c r="B278" s="6" t="n">
        <v>0.5706048298203987</v>
      </c>
      <c r="C278" s="6" t="inlineStr">
        <is>
          <t>D</t>
        </is>
      </c>
      <c r="D278" s="6" t="n">
        <v>0.5841604666934588</v>
      </c>
      <c r="E278" s="6" t="n">
        <v>0.134576927270239</v>
      </c>
      <c r="F278" s="6" t="n">
        <v>0.189050136756485</v>
      </c>
      <c r="G278" s="6" t="n">
        <v>277</v>
      </c>
      <c r="H278" s="6" t="n">
        <v>235</v>
      </c>
      <c r="I278" s="6" t="inlineStr">
        <is>
          <t>***招投标代理有限公司</t>
        </is>
      </c>
      <c r="J278" s="6" t="b">
        <v>1</v>
      </c>
    </row>
    <row r="279">
      <c r="A279" s="6" t="inlineStr">
        <is>
          <t>E381</t>
        </is>
      </c>
      <c r="B279" s="6" t="n">
        <v>0.5759554409140943</v>
      </c>
      <c r="C279" s="6" t="inlineStr">
        <is>
          <t>D</t>
        </is>
      </c>
      <c r="D279" s="6" t="n">
        <v>0.4376463548870577</v>
      </c>
      <c r="E279" s="6" t="n">
        <v>0.196522830115809</v>
      </c>
      <c r="F279" s="6" t="n">
        <v>0.1529420161133635</v>
      </c>
      <c r="G279" s="6" t="n">
        <v>278</v>
      </c>
      <c r="H279" s="6" t="n">
        <v>297</v>
      </c>
      <c r="I279" s="6" t="inlineStr">
        <is>
          <t>***通信网络工程有限公司</t>
        </is>
      </c>
      <c r="J279" s="6" t="b">
        <v>1</v>
      </c>
    </row>
    <row r="280">
      <c r="A280" s="6" t="inlineStr">
        <is>
          <t>E240</t>
        </is>
      </c>
      <c r="B280" s="6" t="n">
        <v>0.6204809997885711</v>
      </c>
      <c r="C280" s="6" t="inlineStr">
        <is>
          <t>D</t>
        </is>
      </c>
      <c r="D280" s="6" t="n">
        <v>0.5044259139856231</v>
      </c>
      <c r="E280" s="6" t="n">
        <v>0.1769551493964369</v>
      </c>
      <c r="F280" s="6" t="n">
        <v>0.1801158807286195</v>
      </c>
      <c r="G280" s="6" t="n">
        <v>279</v>
      </c>
      <c r="H280" s="6" t="n">
        <v>280</v>
      </c>
      <c r="I280" s="6" t="inlineStr">
        <is>
          <t xml:space="preserve">个体经营E240 </t>
        </is>
      </c>
      <c r="J280" s="6" t="b">
        <v>1</v>
      </c>
    </row>
    <row r="281">
      <c r="A281" s="6" t="inlineStr">
        <is>
          <t>E420</t>
        </is>
      </c>
      <c r="B281" s="6" t="n">
        <v>0.6231680503851171</v>
      </c>
      <c r="C281" s="6" t="inlineStr">
        <is>
          <t>D</t>
        </is>
      </c>
      <c r="D281" s="6" t="n">
        <v>0.4394520802437065</v>
      </c>
      <c r="E281" s="6" t="n">
        <v>0.2021452498640878</v>
      </c>
      <c r="F281" s="6" t="n">
        <v>0.158475569051757</v>
      </c>
      <c r="G281" s="6" t="n">
        <v>280</v>
      </c>
      <c r="H281" s="6" t="n">
        <v>296</v>
      </c>
      <c r="I281" s="6" t="inlineStr">
        <is>
          <t>***康药房</t>
        </is>
      </c>
      <c r="J281" s="6" t="b">
        <v>1</v>
      </c>
    </row>
    <row r="282">
      <c r="A282" s="6" t="inlineStr">
        <is>
          <t>E416</t>
        </is>
      </c>
      <c r="B282" s="6" t="n">
        <v>0.6346737301994547</v>
      </c>
      <c r="C282" s="6" t="inlineStr">
        <is>
          <t>D</t>
        </is>
      </c>
      <c r="D282" s="6" t="n">
        <v>0.4949548830832032</v>
      </c>
      <c r="E282" s="6" t="n">
        <v>0.1726186447550994</v>
      </c>
      <c r="F282" s="6" t="n">
        <v>0.1691699182329026</v>
      </c>
      <c r="G282" s="6" t="n">
        <v>281</v>
      </c>
      <c r="H282" s="6" t="n">
        <v>284</v>
      </c>
      <c r="I282" s="6" t="inlineStr">
        <is>
          <t>***科技有限公司</t>
        </is>
      </c>
      <c r="J282" s="6" t="b">
        <v>1</v>
      </c>
    </row>
    <row r="283">
      <c r="A283" s="6" t="inlineStr">
        <is>
          <t>E394</t>
        </is>
      </c>
      <c r="B283" s="6" t="n">
        <v>0.66277519716227</v>
      </c>
      <c r="C283" s="6" t="inlineStr">
        <is>
          <t>D</t>
        </is>
      </c>
      <c r="D283" s="6" t="n">
        <v>0.5939847489838708</v>
      </c>
      <c r="E283" s="6" t="n">
        <v>0.1313188033232508</v>
      </c>
      <c r="F283" s="6" t="n">
        <v>0.1921143755896124</v>
      </c>
      <c r="G283" s="6" t="n">
        <v>282</v>
      </c>
      <c r="H283" s="6" t="n">
        <v>229</v>
      </c>
      <c r="I283" s="6" t="inlineStr">
        <is>
          <t>***环保设计研究院（有限合伙）</t>
        </is>
      </c>
      <c r="J283" s="6" t="b">
        <v>1</v>
      </c>
    </row>
    <row r="284">
      <c r="A284" s="6" t="inlineStr">
        <is>
          <t>E187</t>
        </is>
      </c>
      <c r="B284" s="6" t="n">
        <v>0.6676408856595872</v>
      </c>
      <c r="C284" s="6" t="inlineStr">
        <is>
          <t>D</t>
        </is>
      </c>
      <c r="D284" s="6" t="n">
        <v>0.466121670724812</v>
      </c>
      <c r="E284" s="6" t="n">
        <v>0.1911000384245089</v>
      </c>
      <c r="F284" s="6" t="n">
        <v>0.1668467594609813</v>
      </c>
      <c r="G284" s="6" t="n">
        <v>283</v>
      </c>
      <c r="H284" s="6" t="n">
        <v>290</v>
      </c>
      <c r="I284" s="6" t="inlineStr">
        <is>
          <t xml:space="preserve">个体经营E187 </t>
        </is>
      </c>
      <c r="J284" s="6" t="b">
        <v>1</v>
      </c>
    </row>
    <row r="285">
      <c r="A285" s="6" t="inlineStr">
        <is>
          <t>E373</t>
        </is>
      </c>
      <c r="B285" s="6" t="n">
        <v>0.6867396516242826</v>
      </c>
      <c r="C285" s="6" t="inlineStr">
        <is>
          <t>D</t>
        </is>
      </c>
      <c r="D285" s="6" t="n">
        <v>0.4526306986719358</v>
      </c>
      <c r="E285" s="6" t="n">
        <v>0.1961469649259608</v>
      </c>
      <c r="F285" s="6" t="n">
        <v>0.1621978754771379</v>
      </c>
      <c r="G285" s="6" t="n">
        <v>284</v>
      </c>
      <c r="H285" s="6" t="n">
        <v>294</v>
      </c>
      <c r="I285" s="6" t="inlineStr">
        <is>
          <t xml:space="preserve">个体经营E373 </t>
        </is>
      </c>
      <c r="J285" s="6" t="b">
        <v>1</v>
      </c>
    </row>
    <row r="286">
      <c r="A286" s="6" t="inlineStr">
        <is>
          <t>E405</t>
        </is>
      </c>
      <c r="B286" s="6" t="n">
        <v>0.690660903967762</v>
      </c>
      <c r="C286" s="6" t="inlineStr">
        <is>
          <t>D</t>
        </is>
      </c>
      <c r="D286" s="6" t="n">
        <v>0.5008066584182438</v>
      </c>
      <c r="E286" s="6" t="n">
        <v>0.169312252280879</v>
      </c>
      <c r="F286" s="6" t="n">
        <v>0.1698594436884464</v>
      </c>
      <c r="G286" s="6" t="n">
        <v>285</v>
      </c>
      <c r="H286" s="6" t="n">
        <v>282</v>
      </c>
      <c r="I286" s="6" t="inlineStr">
        <is>
          <t>***职业技能服务有限公司</t>
        </is>
      </c>
      <c r="J286" s="6" t="b">
        <v>1</v>
      </c>
    </row>
    <row r="287">
      <c r="A287" s="6" t="inlineStr">
        <is>
          <t>E402</t>
        </is>
      </c>
      <c r="B287" s="6" t="n">
        <v>0.6995502093560634</v>
      </c>
      <c r="C287" s="6" t="inlineStr">
        <is>
          <t>D</t>
        </is>
      </c>
      <c r="D287" s="6" t="n">
        <v>0.4863222247592214</v>
      </c>
      <c r="E287" s="6" t="n">
        <v>0.1702878338055407</v>
      </c>
      <c r="F287" s="6" t="n">
        <v>0.1612192743727738</v>
      </c>
      <c r="G287" s="6" t="n">
        <v>286</v>
      </c>
      <c r="H287" s="6" t="n">
        <v>288</v>
      </c>
      <c r="I287" s="6" t="inlineStr">
        <is>
          <t>***商贸有限公司</t>
        </is>
      </c>
      <c r="J287" s="6" t="b">
        <v>1</v>
      </c>
    </row>
    <row r="288">
      <c r="A288" s="6" t="inlineStr">
        <is>
          <t>E242</t>
        </is>
      </c>
      <c r="B288" s="6" t="n">
        <v>0.7093377336511719</v>
      </c>
      <c r="C288" s="6" t="inlineStr">
        <is>
          <t>D</t>
        </is>
      </c>
      <c r="D288" s="6" t="n">
        <v>0.4549982564034051</v>
      </c>
      <c r="E288" s="6" t="n">
        <v>0.192964037912246</v>
      </c>
      <c r="F288" s="6" t="n">
        <v>0.1610972842384518</v>
      </c>
      <c r="G288" s="6" t="n">
        <v>287</v>
      </c>
      <c r="H288" s="6" t="n">
        <v>292</v>
      </c>
      <c r="I288" s="6" t="inlineStr">
        <is>
          <t xml:space="preserve">个体经营E242 </t>
        </is>
      </c>
      <c r="J288" s="6" t="b">
        <v>1</v>
      </c>
    </row>
    <row r="289">
      <c r="A289" s="6" t="inlineStr">
        <is>
          <t>E264</t>
        </is>
      </c>
      <c r="B289" s="6" t="n">
        <v>0.7121724165705832</v>
      </c>
      <c r="C289" s="6" t="inlineStr">
        <is>
          <t>D</t>
        </is>
      </c>
      <c r="D289" s="6" t="n">
        <v>0.4348677972930069</v>
      </c>
      <c r="E289" s="6" t="n">
        <v>0.2064465595022148</v>
      </c>
      <c r="F289" s="6" t="n">
        <v>0.1588601041657415</v>
      </c>
      <c r="G289" s="6" t="n">
        <v>288</v>
      </c>
      <c r="H289" s="6" t="n">
        <v>298</v>
      </c>
      <c r="I289" s="6" t="inlineStr">
        <is>
          <t xml:space="preserve">个体经营E264 </t>
        </is>
      </c>
      <c r="J289" s="6" t="b">
        <v>1</v>
      </c>
    </row>
    <row r="290">
      <c r="A290" s="6" t="inlineStr">
        <is>
          <t>E418</t>
        </is>
      </c>
      <c r="B290" s="6" t="n">
        <v>0.7123981652605675</v>
      </c>
      <c r="C290" s="6" t="inlineStr">
        <is>
          <t>D</t>
        </is>
      </c>
      <c r="D290" s="6" t="n">
        <v>0.5256848185045385</v>
      </c>
      <c r="E290" s="6" t="n">
        <v>0.163333216571625</v>
      </c>
      <c r="F290" s="6" t="n">
        <v>0.18102265257145</v>
      </c>
      <c r="G290" s="6" t="n">
        <v>289</v>
      </c>
      <c r="H290" s="6" t="n">
        <v>274</v>
      </c>
      <c r="I290" s="6" t="inlineStr">
        <is>
          <t>***营销策划有限公司</t>
        </is>
      </c>
      <c r="J290" s="6" t="b">
        <v>1</v>
      </c>
    </row>
    <row r="291">
      <c r="A291" s="6" t="inlineStr">
        <is>
          <t>E414</t>
        </is>
      </c>
      <c r="B291" s="6" t="n">
        <v>0.7387940433139173</v>
      </c>
      <c r="C291" s="6" t="inlineStr">
        <is>
          <t>D</t>
        </is>
      </c>
      <c r="D291" s="6" t="n">
        <v>0.4997308355061649</v>
      </c>
      <c r="E291" s="6" t="n">
        <v>0.1754283364672636</v>
      </c>
      <c r="F291" s="6" t="n">
        <v>0.1752395617725957</v>
      </c>
      <c r="G291" s="6" t="n">
        <v>290</v>
      </c>
      <c r="H291" s="6" t="n">
        <v>283</v>
      </c>
      <c r="I291" s="6" t="inlineStr">
        <is>
          <t>***物流有限责任公司***分公司</t>
        </is>
      </c>
      <c r="J291" s="6" t="b">
        <v>1</v>
      </c>
    </row>
    <row r="292">
      <c r="A292" s="6" t="inlineStr">
        <is>
          <t>E413</t>
        </is>
      </c>
      <c r="B292" s="6" t="n">
        <v>0.7520976263697072</v>
      </c>
      <c r="C292" s="6" t="inlineStr">
        <is>
          <t>D</t>
        </is>
      </c>
      <c r="D292" s="6" t="n">
        <v>0.5441888883737563</v>
      </c>
      <c r="E292" s="6" t="n">
        <v>0.1588537778394916</v>
      </c>
      <c r="F292" s="6" t="n">
        <v>0.1896541320987564</v>
      </c>
      <c r="G292" s="6" t="n">
        <v>291</v>
      </c>
      <c r="H292" s="6" t="n">
        <v>264</v>
      </c>
      <c r="I292" s="6" t="inlineStr">
        <is>
          <t>***石材工艺品有限公司</t>
        </is>
      </c>
      <c r="J292" s="6" t="b">
        <v>1</v>
      </c>
    </row>
    <row r="293">
      <c r="A293" s="6" t="inlineStr">
        <is>
          <t>E417</t>
        </is>
      </c>
      <c r="B293" s="6" t="n">
        <v>0.7569666724661214</v>
      </c>
      <c r="C293" s="6" t="inlineStr">
        <is>
          <t>D</t>
        </is>
      </c>
      <c r="D293" s="6" t="n">
        <v>0.4934090438357706</v>
      </c>
      <c r="E293" s="6" t="n">
        <v>0.1741088093225212</v>
      </c>
      <c r="F293" s="6" t="n">
        <v>0.1695783552507004</v>
      </c>
      <c r="G293" s="6" t="n">
        <v>292</v>
      </c>
      <c r="H293" s="6" t="n">
        <v>286</v>
      </c>
      <c r="I293" s="6" t="inlineStr">
        <is>
          <t>***园林景观工程有限公司</t>
        </is>
      </c>
      <c r="J293" s="6" t="b">
        <v>1</v>
      </c>
    </row>
    <row r="294">
      <c r="A294" s="6" t="inlineStr">
        <is>
          <t>E401</t>
        </is>
      </c>
      <c r="B294" s="6" t="n">
        <v>0.7573600790493429</v>
      </c>
      <c r="C294" s="6" t="inlineStr">
        <is>
          <t>D</t>
        </is>
      </c>
      <c r="D294" s="6" t="n">
        <v>0.5426181685897916</v>
      </c>
      <c r="E294" s="6" t="n">
        <v>0.1504841093569433</v>
      </c>
      <c r="F294" s="6" t="n">
        <v>0.1785278867972717</v>
      </c>
      <c r="G294" s="6" t="n">
        <v>293</v>
      </c>
      <c r="H294" s="6" t="n">
        <v>265</v>
      </c>
      <c r="I294" s="6" t="inlineStr">
        <is>
          <t>***遮阳技术发展中心</t>
        </is>
      </c>
      <c r="J294" s="6" t="b">
        <v>1</v>
      </c>
    </row>
    <row r="295">
      <c r="A295" s="6" t="inlineStr">
        <is>
          <t>E385</t>
        </is>
      </c>
      <c r="B295" s="6" t="n">
        <v>0.7594659022539301</v>
      </c>
      <c r="C295" s="6" t="inlineStr">
        <is>
          <t>D</t>
        </is>
      </c>
      <c r="D295" s="6" t="n">
        <v>0.5312449652854028</v>
      </c>
      <c r="E295" s="6" t="n">
        <v>0.1567076796116136</v>
      </c>
      <c r="F295" s="6" t="n">
        <v>0.1775984462031747</v>
      </c>
      <c r="G295" s="6" t="n">
        <v>294</v>
      </c>
      <c r="H295" s="6" t="n">
        <v>270</v>
      </c>
      <c r="I295" s="6" t="inlineStr">
        <is>
          <t>***装饰工程有限公司</t>
        </is>
      </c>
      <c r="J295" s="6" t="b">
        <v>1</v>
      </c>
    </row>
    <row r="296">
      <c r="A296" s="6" t="inlineStr">
        <is>
          <t>E368</t>
        </is>
      </c>
      <c r="B296" s="6" t="n">
        <v>0.7679898802412043</v>
      </c>
      <c r="C296" s="6" t="inlineStr">
        <is>
          <t>D</t>
        </is>
      </c>
      <c r="D296" s="6" t="n">
        <v>0.5138159130557373</v>
      </c>
      <c r="E296" s="6" t="n">
        <v>0.159306996649521</v>
      </c>
      <c r="F296" s="6" t="n">
        <v>0.1683610635101368</v>
      </c>
      <c r="G296" s="6" t="n">
        <v>295</v>
      </c>
      <c r="H296" s="6" t="n">
        <v>276</v>
      </c>
      <c r="I296" s="6" t="inlineStr">
        <is>
          <t>***通信科技有限责任公司</t>
        </is>
      </c>
      <c r="J296" s="6" t="b">
        <v>1</v>
      </c>
    </row>
    <row r="297">
      <c r="A297" s="6" t="inlineStr">
        <is>
          <t>E421</t>
        </is>
      </c>
      <c r="B297" s="6" t="n">
        <v>0.7822067500013968</v>
      </c>
      <c r="C297" s="6" t="inlineStr">
        <is>
          <t>D</t>
        </is>
      </c>
      <c r="D297" s="6" t="n">
        <v>0.5039278714829714</v>
      </c>
      <c r="E297" s="6" t="n">
        <v>0.1758834845387952</v>
      </c>
      <c r="F297" s="6" t="n">
        <v>0.1786687558069506</v>
      </c>
      <c r="G297" s="6" t="n">
        <v>296</v>
      </c>
      <c r="H297" s="6" t="n">
        <v>281</v>
      </c>
      <c r="I297" s="6" t="inlineStr">
        <is>
          <t>***保温材料有限公司</t>
        </is>
      </c>
      <c r="J297" s="6" t="b">
        <v>1</v>
      </c>
    </row>
    <row r="298">
      <c r="A298" s="6" t="inlineStr">
        <is>
          <t>E423</t>
        </is>
      </c>
      <c r="B298" s="6" t="n">
        <v>0.7988930648673302</v>
      </c>
      <c r="C298" s="6" t="inlineStr">
        <is>
          <t>D</t>
        </is>
      </c>
      <c r="D298" s="6" t="n">
        <v>0.4527074491697276</v>
      </c>
      <c r="E298" s="6" t="n">
        <v>0.18338946307791</v>
      </c>
      <c r="F298" s="6" t="n">
        <v>0.1516954248850237</v>
      </c>
      <c r="G298" s="6" t="n">
        <v>297</v>
      </c>
      <c r="H298" s="6" t="n">
        <v>293</v>
      </c>
      <c r="I298" s="6" t="inlineStr">
        <is>
          <t>***通风设备有限公司</t>
        </is>
      </c>
      <c r="J298" s="6" t="b">
        <v>1</v>
      </c>
    </row>
    <row r="299">
      <c r="A299" s="6" t="inlineStr">
        <is>
          <t>E217</t>
        </is>
      </c>
      <c r="B299" s="6" t="n">
        <v>0.8167097399687954</v>
      </c>
      <c r="C299" s="6" t="inlineStr">
        <is>
          <t>D</t>
        </is>
      </c>
      <c r="D299" s="6" t="n">
        <v>0.4185798971886918</v>
      </c>
      <c r="E299" s="6" t="n">
        <v>0.2087125664699938</v>
      </c>
      <c r="F299" s="6" t="n">
        <v>0.150257764037702</v>
      </c>
      <c r="G299" s="6" t="n">
        <v>298</v>
      </c>
      <c r="H299" s="6" t="n">
        <v>301</v>
      </c>
      <c r="I299" s="6" t="inlineStr">
        <is>
          <t xml:space="preserve">个体经营E217 </t>
        </is>
      </c>
      <c r="J299" s="6" t="b">
        <v>1</v>
      </c>
    </row>
    <row r="300">
      <c r="A300" s="6" t="inlineStr">
        <is>
          <t>E419</t>
        </is>
      </c>
      <c r="B300" s="6" t="n">
        <v>0.8686616017746208</v>
      </c>
      <c r="C300" s="6" t="inlineStr">
        <is>
          <t>D</t>
        </is>
      </c>
      <c r="D300" s="6" t="n">
        <v>0.4230865154160932</v>
      </c>
      <c r="E300" s="6" t="n">
        <v>0.2137383792248408</v>
      </c>
      <c r="F300" s="6" t="n">
        <v>0.156747638065945</v>
      </c>
      <c r="G300" s="6" t="n">
        <v>299</v>
      </c>
      <c r="H300" s="6" t="n">
        <v>300</v>
      </c>
      <c r="I300" s="6" t="inlineStr">
        <is>
          <t>***科技有限公司</t>
        </is>
      </c>
      <c r="J300" s="6" t="b">
        <v>1</v>
      </c>
    </row>
    <row r="301">
      <c r="A301" s="6" t="inlineStr">
        <is>
          <t>E425</t>
        </is>
      </c>
      <c r="B301" s="6" t="n">
        <v>0.8773292887983726</v>
      </c>
      <c r="C301" s="6" t="inlineStr">
        <is>
          <t>D</t>
        </is>
      </c>
      <c r="D301" s="6" t="n">
        <v>0.4912986974154632</v>
      </c>
      <c r="E301" s="6" t="n">
        <v>0.1775109274804835</v>
      </c>
      <c r="F301" s="6" t="n">
        <v>0.1714383018189333</v>
      </c>
      <c r="G301" s="6" t="n">
        <v>300</v>
      </c>
      <c r="H301" s="6" t="n">
        <v>287</v>
      </c>
      <c r="I301" s="6" t="inlineStr">
        <is>
          <t>***商贸有限公司</t>
        </is>
      </c>
      <c r="J301" s="6" t="b">
        <v>1</v>
      </c>
    </row>
    <row r="302">
      <c r="A302" s="6" t="inlineStr">
        <is>
          <t>E404</t>
        </is>
      </c>
      <c r="B302" s="6" t="n">
        <v>0.8836148435489724</v>
      </c>
      <c r="C302" s="6" t="inlineStr">
        <is>
          <t>D</t>
        </is>
      </c>
      <c r="D302" s="6" t="n">
        <v>0.4403590320505812</v>
      </c>
      <c r="E302" s="6" t="n">
        <v>0.1874825973876984</v>
      </c>
      <c r="F302" s="6" t="n">
        <v>0.1475225364834934</v>
      </c>
      <c r="G302" s="6" t="n">
        <v>301</v>
      </c>
      <c r="H302" s="6" t="n">
        <v>295</v>
      </c>
      <c r="I302" s="6" t="inlineStr">
        <is>
          <t xml:space="preserve">个体经营E404 </t>
        </is>
      </c>
      <c r="J302" s="6" t="b">
        <v>1</v>
      </c>
    </row>
    <row r="303">
      <c r="A303" s="6" t="inlineStr">
        <is>
          <t>E424</t>
        </is>
      </c>
      <c r="B303" s="6" t="n">
        <v>0.9285007290932114</v>
      </c>
      <c r="C303" s="6" t="inlineStr">
        <is>
          <t>D</t>
        </is>
      </c>
      <c r="D303" s="6" t="n">
        <v>0.3506762296344159</v>
      </c>
      <c r="E303" s="6" t="n">
        <v>0.2238967649487267</v>
      </c>
      <c r="F303" s="6" t="n">
        <v>0.1209185262313077</v>
      </c>
      <c r="G303" s="6" t="n">
        <v>302</v>
      </c>
      <c r="H303" s="6" t="n">
        <v>302</v>
      </c>
      <c r="I303" s="6" t="inlineStr">
        <is>
          <t>***贸易有限公司</t>
        </is>
      </c>
      <c r="J303" s="6" t="b">
        <v>1</v>
      </c>
    </row>
  </sheetData>
  <autoFilter ref="A1:J3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.75" customWidth="1" min="2" max="2"/>
    <col width="10" customWidth="1" min="3" max="3"/>
    <col width="24.5" customWidth="1" min="4" max="4"/>
    <col width="25.75" customWidth="1" min="5" max="5"/>
    <col width="24.5" customWidth="1" min="6" max="6"/>
    <col width="10" customWidth="1" min="7" max="7"/>
    <col width="12" customWidth="1" min="8" max="8"/>
    <col width="32" customWidth="1" min="9" max="9"/>
    <col width="10" customWidth="1" min="10" max="10"/>
    <col width="10" customWidth="1" min="11" max="11"/>
    <col width="10" customWidth="1" min="12" max="12"/>
    <col width="10.75" customWidth="1" min="13" max="13"/>
    <col width="10" customWidth="1" min="14" max="14"/>
    <col width="24.5" customWidth="1" min="15" max="15"/>
    <col width="29.5" customWidth="1" min="16" max="16"/>
    <col width="15.75" customWidth="1" min="17" max="17"/>
    <col width="24.5" customWidth="1" min="18" max="18"/>
    <col width="23.25" customWidth="1" min="19" max="19"/>
    <col width="23.25" customWidth="1" min="20" max="20"/>
    <col width="23.25" customWidth="1" min="21" max="21"/>
    <col width="24.5" customWidth="1" min="22" max="22"/>
    <col width="24.5" customWidth="1" min="23" max="23"/>
    <col width="27" customWidth="1" min="24" max="24"/>
    <col width="10.75" customWidth="1" min="25" max="25"/>
  </cols>
  <sheetData>
    <row r="1">
      <c r="A1" s="5" t="inlineStr">
        <is>
          <t>企业代号</t>
        </is>
      </c>
      <c r="B1" s="5" t="inlineStr">
        <is>
          <t>违约概率</t>
        </is>
      </c>
      <c r="C1" s="5" t="inlineStr">
        <is>
          <t>风险等级</t>
        </is>
      </c>
      <c r="D1" s="5" t="inlineStr">
        <is>
          <t>TOPSIS得分</t>
        </is>
      </c>
      <c r="E1" s="5" t="inlineStr">
        <is>
          <t>D_pos</t>
        </is>
      </c>
      <c r="F1" s="5" t="inlineStr">
        <is>
          <t>D_neg</t>
        </is>
      </c>
      <c r="G1" s="5" t="inlineStr">
        <is>
          <t>PD排名</t>
        </is>
      </c>
      <c r="H1" s="5" t="inlineStr">
        <is>
          <t>TOPSIS排名</t>
        </is>
      </c>
      <c r="I1" s="5" t="inlineStr">
        <is>
          <t>企业名称</t>
        </is>
      </c>
      <c r="J1" s="5" t="inlineStr">
        <is>
          <t>信誉评级</t>
        </is>
      </c>
      <c r="K1" s="5" t="inlineStr">
        <is>
          <t>是否违约</t>
        </is>
      </c>
      <c r="L1" s="5" t="inlineStr">
        <is>
          <t>硬性禁贷</t>
        </is>
      </c>
      <c r="M1" s="5" t="inlineStr">
        <is>
          <t>贷款额度_万元</t>
        </is>
      </c>
      <c r="N1" s="5" t="inlineStr">
        <is>
          <t>贷款年利率</t>
        </is>
      </c>
      <c r="O1" s="5" t="inlineStr">
        <is>
          <t>预计流失率</t>
        </is>
      </c>
      <c r="P1" s="5" t="inlineStr">
        <is>
          <t>单位额度期望收益</t>
        </is>
      </c>
      <c r="Q1" s="5" t="inlineStr">
        <is>
          <t>禁贷原因</t>
        </is>
      </c>
      <c r="R1" s="5" t="inlineStr">
        <is>
          <t>客户留存率</t>
        </is>
      </c>
      <c r="S1" s="5" t="inlineStr">
        <is>
          <t>预计实际放款额</t>
        </is>
      </c>
      <c r="T1" s="5" t="inlineStr">
        <is>
          <t>名义利息</t>
        </is>
      </c>
      <c r="U1" s="5" t="inlineStr">
        <is>
          <t>预计留存后利息</t>
        </is>
      </c>
      <c r="V1" s="5" t="inlineStr">
        <is>
          <t>预计违约损失</t>
        </is>
      </c>
      <c r="W1" s="5" t="inlineStr">
        <is>
          <t>预计资金成本</t>
        </is>
      </c>
      <c r="X1" s="5" t="inlineStr">
        <is>
          <t>期望净收益</t>
        </is>
      </c>
      <c r="Y1" s="5" t="inlineStr">
        <is>
          <t>预算强制负收益</t>
        </is>
      </c>
    </row>
    <row r="2">
      <c r="A2" s="6" t="inlineStr">
        <is>
          <t>E14</t>
        </is>
      </c>
      <c r="B2" s="6" t="n">
        <v>0.01418497366721081</v>
      </c>
      <c r="C2" s="6" t="inlineStr">
        <is>
          <t>A</t>
        </is>
      </c>
      <c r="D2" s="6" t="n">
        <v>0.7821415293671059</v>
      </c>
      <c r="E2" s="6" t="n">
        <v>0.0670555778030323</v>
      </c>
      <c r="F2" s="6" t="n">
        <v>0.2407386411145575</v>
      </c>
      <c r="G2" s="6" t="n">
        <v>1</v>
      </c>
      <c r="H2" s="6" t="n">
        <v>6</v>
      </c>
      <c r="I2" s="6" t="inlineStr">
        <is>
          <t>个体经营E14</t>
        </is>
      </c>
      <c r="J2" s="6" t="inlineStr">
        <is>
          <t>C</t>
        </is>
      </c>
      <c r="K2" s="6" t="inlineStr">
        <is>
          <t>否</t>
        </is>
      </c>
      <c r="L2" s="6" t="b">
        <v>0</v>
      </c>
      <c r="M2" s="6" t="n">
        <v>100</v>
      </c>
      <c r="N2" s="6" t="n">
        <v>0.0745</v>
      </c>
      <c r="O2" s="6" t="n">
        <v>0.511096611982035</v>
      </c>
      <c r="P2" s="6" t="n">
        <v>0.01952300511046132</v>
      </c>
      <c r="Q2" s="6" t="inlineStr"/>
      <c r="R2" s="6" t="n">
        <v>0.488903388017965</v>
      </c>
      <c r="S2" s="6" t="n">
        <v>48.8903388017965</v>
      </c>
      <c r="T2" s="6" t="n">
        <v>7.449999999999999</v>
      </c>
      <c r="U2" s="6" t="n">
        <v>3.590663882181744</v>
      </c>
      <c r="V2" s="6" t="n">
        <v>0.416104901090699</v>
      </c>
      <c r="W2" s="6" t="n">
        <v>1.222258470044912</v>
      </c>
      <c r="X2" s="9">
        <f>M2*(1-O2)*((1-B2)*N2-B2*'模型说明与假设'!$B$7-'模型说明与假设'!$B$8)</f>
        <v/>
      </c>
      <c r="Y2" s="6" t="b">
        <v>0</v>
      </c>
    </row>
    <row r="3">
      <c r="A3" s="6" t="inlineStr">
        <is>
          <t>E8</t>
        </is>
      </c>
      <c r="B3" s="6" t="n">
        <v>0.01707567863714793</v>
      </c>
      <c r="C3" s="6" t="inlineStr">
        <is>
          <t>A</t>
        </is>
      </c>
      <c r="D3" s="6" t="n">
        <v>0.8151512976277173</v>
      </c>
      <c r="E3" s="6" t="n">
        <v>0.05712081862467089</v>
      </c>
      <c r="F3" s="6" t="n">
        <v>0.2518930824284746</v>
      </c>
      <c r="G3" s="6" t="n">
        <v>2</v>
      </c>
      <c r="H3" s="6" t="n">
        <v>2</v>
      </c>
      <c r="I3" s="6" t="inlineStr">
        <is>
          <t>***科学研究院有限公司</t>
        </is>
      </c>
      <c r="J3" s="6" t="inlineStr">
        <is>
          <t>A</t>
        </is>
      </c>
      <c r="K3" s="6" t="inlineStr">
        <is>
          <t>否</t>
        </is>
      </c>
      <c r="L3" s="6" t="b">
        <v>0</v>
      </c>
      <c r="M3" s="6" t="n">
        <v>100</v>
      </c>
      <c r="N3" s="6" t="n">
        <v>0.0745</v>
      </c>
      <c r="O3" s="6" t="n">
        <v>0.511096611982035</v>
      </c>
      <c r="P3" s="6" t="n">
        <v>0.01856975081703333</v>
      </c>
      <c r="Q3" s="6" t="inlineStr"/>
      <c r="R3" s="6" t="n">
        <v>0.488903388017965</v>
      </c>
      <c r="S3" s="6" t="n">
        <v>48.8903388017965</v>
      </c>
      <c r="T3" s="6" t="n">
        <v>7.449999999999999</v>
      </c>
      <c r="U3" s="6" t="n">
        <v>3.580134980052702</v>
      </c>
      <c r="V3" s="6" t="n">
        <v>0.5009014283044565</v>
      </c>
      <c r="W3" s="6" t="n">
        <v>1.222258470044912</v>
      </c>
      <c r="X3" s="9">
        <f>M3*(1-O3)*((1-B3)*N3-B3*'模型说明与假设'!$B$7-'模型说明与假设'!$B$8)</f>
        <v/>
      </c>
      <c r="Y3" s="6" t="b">
        <v>0</v>
      </c>
    </row>
    <row r="4">
      <c r="A4" s="6" t="inlineStr">
        <is>
          <t>E1</t>
        </is>
      </c>
      <c r="B4" s="6" t="n">
        <v>0.01851070086059584</v>
      </c>
      <c r="C4" s="6" t="inlineStr">
        <is>
          <t>A</t>
        </is>
      </c>
      <c r="D4" s="6" t="n">
        <v>0.5787153326640087</v>
      </c>
      <c r="E4" s="6" t="n">
        <v>0.1475023155394446</v>
      </c>
      <c r="F4" s="6" t="n">
        <v>0.2026227352300997</v>
      </c>
      <c r="G4" s="6" t="n">
        <v>3</v>
      </c>
      <c r="H4" s="6" t="n">
        <v>96</v>
      </c>
      <c r="I4" s="6" t="inlineStr">
        <is>
          <t>***电器销售有限公司</t>
        </is>
      </c>
      <c r="J4" s="6" t="inlineStr">
        <is>
          <t>A</t>
        </is>
      </c>
      <c r="K4" s="6" t="inlineStr">
        <is>
          <t>否</t>
        </is>
      </c>
      <c r="L4" s="6" t="b">
        <v>0</v>
      </c>
      <c r="M4" s="6" t="n">
        <v>100</v>
      </c>
      <c r="N4" s="6" t="n">
        <v>0.0745</v>
      </c>
      <c r="O4" s="6" t="n">
        <v>0.511096611982035</v>
      </c>
      <c r="P4" s="6" t="n">
        <v>0.01809653023247258</v>
      </c>
      <c r="Q4" s="6" t="inlineStr"/>
      <c r="R4" s="6" t="n">
        <v>0.488903388017965</v>
      </c>
      <c r="S4" s="6" t="n">
        <v>48.8903388017965</v>
      </c>
      <c r="T4" s="6" t="n">
        <v>7.449999999999999</v>
      </c>
      <c r="U4" s="6" t="n">
        <v>3.574908155212113</v>
      </c>
      <c r="V4" s="6" t="n">
        <v>0.5429966619199419</v>
      </c>
      <c r="W4" s="6" t="n">
        <v>1.222258470044912</v>
      </c>
      <c r="X4" s="9">
        <f>M4*(1-O4)*((1-B4)*N4-B4*'模型说明与假设'!$B$7-'模型说明与假设'!$B$8)</f>
        <v/>
      </c>
      <c r="Y4" s="6" t="b">
        <v>0</v>
      </c>
    </row>
    <row r="5">
      <c r="A5" s="6" t="inlineStr">
        <is>
          <t>E2</t>
        </is>
      </c>
      <c r="B5" s="6" t="n">
        <v>0.02297810632951877</v>
      </c>
      <c r="C5" s="6" t="inlineStr">
        <is>
          <t>A</t>
        </is>
      </c>
      <c r="D5" s="6" t="n">
        <v>0.8391443637731787</v>
      </c>
      <c r="E5" s="6" t="n">
        <v>0.04881501593398456</v>
      </c>
      <c r="F5" s="6" t="n">
        <v>0.254655953930888</v>
      </c>
      <c r="G5" s="6" t="n">
        <v>4</v>
      </c>
      <c r="H5" s="6" t="n">
        <v>1</v>
      </c>
      <c r="I5" s="6" t="inlineStr">
        <is>
          <t>***技术有限责任公司</t>
        </is>
      </c>
      <c r="J5" s="6" t="inlineStr">
        <is>
          <t>A</t>
        </is>
      </c>
      <c r="K5" s="6" t="inlineStr">
        <is>
          <t>否</t>
        </is>
      </c>
      <c r="L5" s="6" t="b">
        <v>0</v>
      </c>
      <c r="M5" s="6" t="n">
        <v>100</v>
      </c>
      <c r="N5" s="6" t="n">
        <v>0.0985</v>
      </c>
      <c r="O5" s="6" t="n">
        <v>0.708302023264193</v>
      </c>
      <c r="P5" s="6" t="n">
        <v>0.01675798830289152</v>
      </c>
      <c r="Q5" s="6" t="inlineStr"/>
      <c r="R5" s="6" t="n">
        <v>0.291697976735807</v>
      </c>
      <c r="S5" s="6" t="n">
        <v>29.1697976735807</v>
      </c>
      <c r="T5" s="6" t="n">
        <v>9.85</v>
      </c>
      <c r="U5" s="6" t="n">
        <v>2.807203799661121</v>
      </c>
      <c r="V5" s="6" t="n">
        <v>0.402160027532452</v>
      </c>
      <c r="W5" s="6" t="n">
        <v>0.7292449418395175</v>
      </c>
      <c r="X5" s="9">
        <f>M5*(1-O5)*((1-B5)*N5-B5*'模型说明与假设'!$B$7-'模型说明与假设'!$B$8)</f>
        <v/>
      </c>
      <c r="Y5" s="6" t="b">
        <v>0</v>
      </c>
    </row>
    <row r="6">
      <c r="A6" s="6" t="inlineStr">
        <is>
          <t>E7</t>
        </is>
      </c>
      <c r="B6" s="6" t="n">
        <v>0.02385439259623525</v>
      </c>
      <c r="C6" s="6" t="inlineStr">
        <is>
          <t>A</t>
        </is>
      </c>
      <c r="D6" s="6" t="n">
        <v>0.7432405249749129</v>
      </c>
      <c r="E6" s="6" t="n">
        <v>0.08492874538459912</v>
      </c>
      <c r="F6" s="6" t="n">
        <v>0.245842866359431</v>
      </c>
      <c r="G6" s="6" t="n">
        <v>5</v>
      </c>
      <c r="H6" s="6" t="n">
        <v>17</v>
      </c>
      <c r="I6" s="6" t="inlineStr">
        <is>
          <t>***家电有限公司***分公司</t>
        </is>
      </c>
      <c r="J6" s="6" t="inlineStr">
        <is>
          <t>A</t>
        </is>
      </c>
      <c r="K6" s="6" t="inlineStr">
        <is>
          <t>否</t>
        </is>
      </c>
      <c r="L6" s="6" t="b">
        <v>0</v>
      </c>
      <c r="M6" s="6" t="n">
        <v>100</v>
      </c>
      <c r="N6" s="6" t="n">
        <v>0.0985</v>
      </c>
      <c r="O6" s="6" t="n">
        <v>0.708302023264193</v>
      </c>
      <c r="P6" s="6" t="n">
        <v>0.01657944406755828</v>
      </c>
      <c r="Q6" s="6" t="inlineStr"/>
      <c r="R6" s="6" t="n">
        <v>0.291697976735807</v>
      </c>
      <c r="S6" s="6" t="n">
        <v>29.1697976735807</v>
      </c>
      <c r="T6" s="6" t="n">
        <v>9.85</v>
      </c>
      <c r="U6" s="6" t="n">
        <v>2.804686031990352</v>
      </c>
      <c r="V6" s="6" t="n">
        <v>0.4174966833950063</v>
      </c>
      <c r="W6" s="6" t="n">
        <v>0.7292449418395175</v>
      </c>
      <c r="X6" s="9">
        <f>M6*(1-O6)*((1-B6)*N6-B6*'模型说明与假设'!$B$7-'模型说明与假设'!$B$8)</f>
        <v/>
      </c>
      <c r="Y6" s="6" t="b">
        <v>0</v>
      </c>
    </row>
    <row r="7">
      <c r="A7" s="6" t="inlineStr">
        <is>
          <t>E54</t>
        </is>
      </c>
      <c r="B7" s="6" t="n">
        <v>0.0244577741640884</v>
      </c>
      <c r="C7" s="6" t="inlineStr">
        <is>
          <t>A</t>
        </is>
      </c>
      <c r="D7" s="6" t="n">
        <v>0.7666620562198306</v>
      </c>
      <c r="E7" s="6" t="n">
        <v>0.07136437499646536</v>
      </c>
      <c r="F7" s="6" t="n">
        <v>0.2344769032814416</v>
      </c>
      <c r="G7" s="6" t="n">
        <v>6</v>
      </c>
      <c r="H7" s="6" t="n">
        <v>9</v>
      </c>
      <c r="I7" s="6" t="inlineStr">
        <is>
          <t>***新技术开发有限公司</t>
        </is>
      </c>
      <c r="J7" s="6" t="inlineStr">
        <is>
          <t>A</t>
        </is>
      </c>
      <c r="K7" s="6" t="inlineStr">
        <is>
          <t>否</t>
        </is>
      </c>
      <c r="L7" s="6" t="b">
        <v>0</v>
      </c>
      <c r="M7" s="6" t="n">
        <v>100</v>
      </c>
      <c r="N7" s="6" t="n">
        <v>0.0985</v>
      </c>
      <c r="O7" s="6" t="n">
        <v>0.708302023264193</v>
      </c>
      <c r="P7" s="6" t="n">
        <v>0.01645650444755239</v>
      </c>
      <c r="Q7" s="6" t="inlineStr"/>
      <c r="R7" s="6" t="n">
        <v>0.291697976735807</v>
      </c>
      <c r="S7" s="6" t="n">
        <v>29.1697976735807</v>
      </c>
      <c r="T7" s="6" t="n">
        <v>9.85</v>
      </c>
      <c r="U7" s="6" t="n">
        <v>2.802952380942309</v>
      </c>
      <c r="V7" s="6" t="n">
        <v>0.4280569943475527</v>
      </c>
      <c r="W7" s="6" t="n">
        <v>0.7292449418395175</v>
      </c>
      <c r="X7" s="9">
        <f>M7*(1-O7)*((1-B7)*N7-B7*'模型说明与假设'!$B$7-'模型说明与假设'!$B$8)</f>
        <v/>
      </c>
      <c r="Y7" s="6" t="b">
        <v>0</v>
      </c>
    </row>
    <row r="8">
      <c r="A8" s="6" t="inlineStr">
        <is>
          <t>E23</t>
        </is>
      </c>
      <c r="B8" s="6" t="n">
        <v>0.0278147658485761</v>
      </c>
      <c r="C8" s="6" t="inlineStr">
        <is>
          <t>A</t>
        </is>
      </c>
      <c r="D8" s="6" t="n">
        <v>0.7479066841313385</v>
      </c>
      <c r="E8" s="6" t="n">
        <v>0.07848922784007079</v>
      </c>
      <c r="F8" s="6" t="n">
        <v>0.2328606688028178</v>
      </c>
      <c r="G8" s="6" t="n">
        <v>7</v>
      </c>
      <c r="H8" s="6" t="n">
        <v>16</v>
      </c>
      <c r="I8" s="6" t="inlineStr">
        <is>
          <t>***贸易有限公司</t>
        </is>
      </c>
      <c r="J8" s="6" t="inlineStr">
        <is>
          <t>B</t>
        </is>
      </c>
      <c r="K8" s="6" t="inlineStr">
        <is>
          <t>否</t>
        </is>
      </c>
      <c r="L8" s="6" t="b">
        <v>0</v>
      </c>
      <c r="M8" s="6" t="n">
        <v>100</v>
      </c>
      <c r="N8" s="6" t="n">
        <v>0.0985</v>
      </c>
      <c r="O8" s="6" t="n">
        <v>0.708302023264193</v>
      </c>
      <c r="P8" s="6" t="n">
        <v>0.01577251391147702</v>
      </c>
      <c r="Q8" s="6" t="inlineStr"/>
      <c r="R8" s="6" t="n">
        <v>0.291697976735807</v>
      </c>
      <c r="S8" s="6" t="n">
        <v>29.1697976735807</v>
      </c>
      <c r="T8" s="6" t="n">
        <v>9.85</v>
      </c>
      <c r="U8" s="6" t="n">
        <v>2.793306988271812</v>
      </c>
      <c r="V8" s="6" t="n">
        <v>0.4868106552845921</v>
      </c>
      <c r="W8" s="6" t="n">
        <v>0.7292449418395175</v>
      </c>
      <c r="X8" s="9">
        <f>M8*(1-O8)*((1-B8)*N8-B8*'模型说明与假设'!$B$7-'模型说明与假设'!$B$8)</f>
        <v/>
      </c>
      <c r="Y8" s="6" t="b">
        <v>0</v>
      </c>
    </row>
    <row r="9">
      <c r="A9" s="6" t="inlineStr">
        <is>
          <t>E9</t>
        </is>
      </c>
      <c r="B9" s="6" t="n">
        <v>0.02827483973639289</v>
      </c>
      <c r="C9" s="6" t="inlineStr">
        <is>
          <t>A</t>
        </is>
      </c>
      <c r="D9" s="6" t="n">
        <v>0.7879938980070007</v>
      </c>
      <c r="E9" s="6" t="n">
        <v>0.06718199568469772</v>
      </c>
      <c r="F9" s="6" t="n">
        <v>0.2497050894187119</v>
      </c>
      <c r="G9" s="6" t="n">
        <v>8</v>
      </c>
      <c r="H9" s="6" t="n">
        <v>4</v>
      </c>
      <c r="I9" s="6" t="inlineStr">
        <is>
          <t>***生活用品服务有限公司***分公司</t>
        </is>
      </c>
      <c r="J9" s="6" t="inlineStr">
        <is>
          <t>A</t>
        </is>
      </c>
      <c r="K9" s="6" t="inlineStr">
        <is>
          <t>否</t>
        </is>
      </c>
      <c r="L9" s="6" t="b">
        <v>0</v>
      </c>
      <c r="M9" s="6" t="n">
        <v>100</v>
      </c>
      <c r="N9" s="6" t="n">
        <v>0.0985</v>
      </c>
      <c r="O9" s="6" t="n">
        <v>0.708302023264193</v>
      </c>
      <c r="P9" s="6" t="n">
        <v>0.01567877337985276</v>
      </c>
      <c r="Q9" s="6" t="inlineStr"/>
      <c r="R9" s="6" t="n">
        <v>0.291697976735807</v>
      </c>
      <c r="S9" s="6" t="n">
        <v>29.1697976735807</v>
      </c>
      <c r="T9" s="6" t="n">
        <v>9.85</v>
      </c>
      <c r="U9" s="6" t="n">
        <v>2.791985092442895</v>
      </c>
      <c r="V9" s="6" t="n">
        <v>0.4948628126181002</v>
      </c>
      <c r="W9" s="6" t="n">
        <v>0.7292449418395175</v>
      </c>
      <c r="X9" s="9">
        <f>M9*(1-O9)*((1-B9)*N9-B9*'模型说明与假设'!$B$7-'模型说明与假设'!$B$8)</f>
        <v/>
      </c>
      <c r="Y9" s="6" t="b">
        <v>0</v>
      </c>
    </row>
    <row r="10">
      <c r="A10" s="6" t="inlineStr">
        <is>
          <t>E31</t>
        </is>
      </c>
      <c r="B10" s="6" t="n">
        <v>0.03029023624524089</v>
      </c>
      <c r="C10" s="6" t="inlineStr">
        <is>
          <t>A</t>
        </is>
      </c>
      <c r="D10" s="6" t="n">
        <v>0.7548154204625147</v>
      </c>
      <c r="E10" s="6" t="n">
        <v>0.07685674375456417</v>
      </c>
      <c r="F10" s="6" t="n">
        <v>0.2366080911854891</v>
      </c>
      <c r="G10" s="6" t="n">
        <v>9</v>
      </c>
      <c r="H10" s="6" t="n">
        <v>14</v>
      </c>
      <c r="I10" s="6" t="inlineStr">
        <is>
          <t>***食品有限公司</t>
        </is>
      </c>
      <c r="J10" s="6" t="inlineStr">
        <is>
          <t>A</t>
        </is>
      </c>
      <c r="K10" s="6" t="inlineStr">
        <is>
          <t>否</t>
        </is>
      </c>
      <c r="L10" s="6" t="b">
        <v>0</v>
      </c>
      <c r="M10" s="6" t="n">
        <v>100</v>
      </c>
      <c r="N10" s="6" t="n">
        <v>0.0985</v>
      </c>
      <c r="O10" s="6" t="n">
        <v>0.708302023264193</v>
      </c>
      <c r="P10" s="6" t="n">
        <v>0.01526813425171273</v>
      </c>
      <c r="Q10" s="6" t="inlineStr"/>
      <c r="R10" s="6" t="n">
        <v>0.291697976735807</v>
      </c>
      <c r="S10" s="6" t="n">
        <v>29.1697976735807</v>
      </c>
      <c r="T10" s="6" t="n">
        <v>9.85</v>
      </c>
      <c r="U10" s="6" t="n">
        <v>2.786194404665973</v>
      </c>
      <c r="V10" s="6" t="n">
        <v>0.5301360376551825</v>
      </c>
      <c r="W10" s="6" t="n">
        <v>0.7292449418395175</v>
      </c>
      <c r="X10" s="9">
        <f>M10*(1-O10)*((1-B10)*N10-B10*'模型说明与假设'!$B$7-'模型说明与假设'!$B$8)</f>
        <v/>
      </c>
      <c r="Y10" s="6" t="b">
        <v>0</v>
      </c>
    </row>
    <row r="11">
      <c r="A11" s="6" t="inlineStr">
        <is>
          <t>E13</t>
        </is>
      </c>
      <c r="B11" s="6" t="n">
        <v>0.03123409840479768</v>
      </c>
      <c r="C11" s="6" t="inlineStr">
        <is>
          <t>A</t>
        </is>
      </c>
      <c r="D11" s="6" t="n">
        <v>0.7961132039463671</v>
      </c>
      <c r="E11" s="6" t="n">
        <v>0.06248456334706083</v>
      </c>
      <c r="F11" s="6" t="n">
        <v>0.243982380842028</v>
      </c>
      <c r="G11" s="6" t="n">
        <v>10</v>
      </c>
      <c r="H11" s="6" t="n">
        <v>3</v>
      </c>
      <c r="I11" s="6" t="inlineStr">
        <is>
          <t>***汽车贸易有限公司</t>
        </is>
      </c>
      <c r="J11" s="6" t="inlineStr">
        <is>
          <t>A</t>
        </is>
      </c>
      <c r="K11" s="6" t="inlineStr">
        <is>
          <t>否</t>
        </is>
      </c>
      <c r="L11" s="6" t="b">
        <v>0</v>
      </c>
      <c r="M11" s="6" t="n">
        <v>100</v>
      </c>
      <c r="N11" s="6" t="n">
        <v>0.0985</v>
      </c>
      <c r="O11" s="6" t="n">
        <v>0.708302023264193</v>
      </c>
      <c r="P11" s="6" t="n">
        <v>0.01507582135815398</v>
      </c>
      <c r="Q11" s="6" t="inlineStr"/>
      <c r="R11" s="6" t="n">
        <v>0.291697976735807</v>
      </c>
      <c r="S11" s="6" t="n">
        <v>29.1697976735807</v>
      </c>
      <c r="T11" s="6" t="n">
        <v>9.85</v>
      </c>
      <c r="U11" s="6" t="n">
        <v>2.783482476245711</v>
      </c>
      <c r="V11" s="6" t="n">
        <v>0.5466553985907948</v>
      </c>
      <c r="W11" s="6" t="n">
        <v>0.7292449418395175</v>
      </c>
      <c r="X11" s="9">
        <f>M11*(1-O11)*((1-B11)*N11-B11*'模型说明与假设'!$B$7-'模型说明与假设'!$B$8)</f>
        <v/>
      </c>
      <c r="Y11" s="6" t="b">
        <v>0</v>
      </c>
    </row>
    <row r="12">
      <c r="A12" s="6" t="inlineStr">
        <is>
          <t>E36</t>
        </is>
      </c>
      <c r="B12" s="6" t="n">
        <v>0.03355942715104538</v>
      </c>
      <c r="C12" s="6" t="inlineStr">
        <is>
          <t>A</t>
        </is>
      </c>
      <c r="D12" s="6" t="n">
        <v>0.7646147738637311</v>
      </c>
      <c r="E12" s="6" t="n">
        <v>0.07149299872480361</v>
      </c>
      <c r="F12" s="6" t="n">
        <v>0.232234639149185</v>
      </c>
      <c r="G12" s="6" t="n">
        <v>11</v>
      </c>
      <c r="H12" s="6" t="n">
        <v>10</v>
      </c>
      <c r="I12" s="6" t="inlineStr">
        <is>
          <t>***超硬材料有限公司</t>
        </is>
      </c>
      <c r="J12" s="6" t="inlineStr">
        <is>
          <t>D</t>
        </is>
      </c>
      <c r="K12" s="6" t="inlineStr">
        <is>
          <t>是</t>
        </is>
      </c>
      <c r="L12" s="6" t="b">
        <v>1</v>
      </c>
      <c r="M12" s="6" t="n">
        <v>0</v>
      </c>
      <c r="N12" s="6" t="n">
        <v>0</v>
      </c>
      <c r="O12" s="6" t="n">
        <v>0</v>
      </c>
      <c r="P12" s="6" t="n">
        <v>0</v>
      </c>
      <c r="Q12" s="6" t="inlineStr">
        <is>
          <t>银行原始D级</t>
        </is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9">
        <f>M12*(1-O12)*((1-B12)*N12-B12*'模型说明与假设'!$B$7-'模型说明与假设'!$B$8)</f>
        <v/>
      </c>
      <c r="Y12" s="6" t="b">
        <v>0</v>
      </c>
    </row>
    <row r="13">
      <c r="A13" s="6" t="inlineStr">
        <is>
          <t>E3</t>
        </is>
      </c>
      <c r="B13" s="6" t="n">
        <v>0.03606070731769106</v>
      </c>
      <c r="C13" s="6" t="inlineStr">
        <is>
          <t>A</t>
        </is>
      </c>
      <c r="D13" s="6" t="n">
        <v>0.7374004196297764</v>
      </c>
      <c r="E13" s="6" t="n">
        <v>0.08645518629568905</v>
      </c>
      <c r="F13" s="6" t="n">
        <v>0.2427730103899302</v>
      </c>
      <c r="G13" s="6" t="n">
        <v>12</v>
      </c>
      <c r="H13" s="6" t="n">
        <v>19</v>
      </c>
      <c r="I13" s="6" t="inlineStr">
        <is>
          <t>***电子(中国)有限公司***分公司</t>
        </is>
      </c>
      <c r="J13" s="6" t="inlineStr">
        <is>
          <t>C</t>
        </is>
      </c>
      <c r="K13" s="6" t="inlineStr">
        <is>
          <t>否</t>
        </is>
      </c>
      <c r="L13" s="6" t="b">
        <v>0</v>
      </c>
      <c r="M13" s="6" t="n">
        <v>100</v>
      </c>
      <c r="N13" s="6" t="n">
        <v>0.0985</v>
      </c>
      <c r="O13" s="6" t="n">
        <v>0.708302023264193</v>
      </c>
      <c r="P13" s="6" t="n">
        <v>0.01409239478816535</v>
      </c>
      <c r="Q13" s="6" t="inlineStr"/>
      <c r="R13" s="6" t="n">
        <v>0.291697976735807</v>
      </c>
      <c r="S13" s="6" t="n">
        <v>29.1697976735807</v>
      </c>
      <c r="T13" s="6" t="n">
        <v>9.85</v>
      </c>
      <c r="U13" s="6" t="n">
        <v>2.769614542510008</v>
      </c>
      <c r="V13" s="6" t="n">
        <v>0.6311301218539555</v>
      </c>
      <c r="W13" s="6" t="n">
        <v>0.7292449418395175</v>
      </c>
      <c r="X13" s="9">
        <f>M13*(1-O13)*((1-B13)*N13-B13*'模型说明与假设'!$B$7-'模型说明与假设'!$B$8)</f>
        <v/>
      </c>
      <c r="Y13" s="6" t="b">
        <v>0</v>
      </c>
    </row>
    <row r="14">
      <c r="A14" s="6" t="inlineStr">
        <is>
          <t>E4</t>
        </is>
      </c>
      <c r="B14" s="6" t="n">
        <v>0.03621110354367287</v>
      </c>
      <c r="C14" s="6" t="inlineStr">
        <is>
          <t>A</t>
        </is>
      </c>
      <c r="D14" s="6" t="n">
        <v>0.6841166941205883</v>
      </c>
      <c r="E14" s="6" t="n">
        <v>0.1085490668705224</v>
      </c>
      <c r="F14" s="6" t="n">
        <v>0.2350875383255778</v>
      </c>
      <c r="G14" s="6" t="n">
        <v>13</v>
      </c>
      <c r="H14" s="6" t="n">
        <v>47</v>
      </c>
      <c r="I14" s="6" t="inlineStr">
        <is>
          <t>***发展有限责任公司</t>
        </is>
      </c>
      <c r="J14" s="6" t="inlineStr">
        <is>
          <t>C</t>
        </is>
      </c>
      <c r="K14" s="6" t="inlineStr">
        <is>
          <t>否</t>
        </is>
      </c>
      <c r="L14" s="6" t="b">
        <v>0</v>
      </c>
      <c r="M14" s="6" t="n">
        <v>100</v>
      </c>
      <c r="N14" s="6" t="n">
        <v>0.0985</v>
      </c>
      <c r="O14" s="6" t="n">
        <v>0.708302023264193</v>
      </c>
      <c r="P14" s="6" t="n">
        <v>0.01406175140119828</v>
      </c>
      <c r="Q14" s="6" t="inlineStr"/>
      <c r="R14" s="6" t="n">
        <v>0.291697976735807</v>
      </c>
      <c r="S14" s="6" t="n">
        <v>29.1697976735807</v>
      </c>
      <c r="T14" s="6" t="n">
        <v>9.85</v>
      </c>
      <c r="U14" s="6" t="n">
        <v>2.769182420302956</v>
      </c>
      <c r="V14" s="6" t="n">
        <v>0.6337623383436112</v>
      </c>
      <c r="W14" s="6" t="n">
        <v>0.7292449418395175</v>
      </c>
      <c r="X14" s="9">
        <f>M14*(1-O14)*((1-B14)*N14-B14*'模型说明与假设'!$B$7-'模型说明与假设'!$B$8)</f>
        <v/>
      </c>
      <c r="Y14" s="6" t="b">
        <v>0</v>
      </c>
    </row>
    <row r="15">
      <c r="A15" s="6" t="inlineStr">
        <is>
          <t>E17</t>
        </is>
      </c>
      <c r="B15" s="6" t="n">
        <v>0.03774428395085142</v>
      </c>
      <c r="C15" s="6" t="inlineStr">
        <is>
          <t>A</t>
        </is>
      </c>
      <c r="D15" s="6" t="n">
        <v>0.7673965691000133</v>
      </c>
      <c r="E15" s="6" t="n">
        <v>0.06946835042412589</v>
      </c>
      <c r="F15" s="6" t="n">
        <v>0.2291873923365879</v>
      </c>
      <c r="G15" s="6" t="n">
        <v>14</v>
      </c>
      <c r="H15" s="6" t="n">
        <v>8</v>
      </c>
      <c r="I15" s="6" t="inlineStr">
        <is>
          <t>***消防工程有限公司</t>
        </is>
      </c>
      <c r="J15" s="6" t="inlineStr">
        <is>
          <t>A</t>
        </is>
      </c>
      <c r="K15" s="6" t="inlineStr">
        <is>
          <t>否</t>
        </is>
      </c>
      <c r="L15" s="6" t="b">
        <v>0</v>
      </c>
      <c r="M15" s="6" t="n">
        <v>100</v>
      </c>
      <c r="N15" s="6" t="n">
        <v>0.0985</v>
      </c>
      <c r="O15" s="6" t="n">
        <v>0.708302023264193</v>
      </c>
      <c r="P15" s="6" t="n">
        <v>0.01374936430371092</v>
      </c>
      <c r="Q15" s="6" t="inlineStr"/>
      <c r="R15" s="6" t="n">
        <v>0.291697976735807</v>
      </c>
      <c r="S15" s="6" t="n">
        <v>29.1697976735807</v>
      </c>
      <c r="T15" s="6" t="n">
        <v>9.85</v>
      </c>
      <c r="U15" s="6" t="n">
        <v>2.764777247918918</v>
      </c>
      <c r="V15" s="6" t="n">
        <v>0.660595875708309</v>
      </c>
      <c r="W15" s="6" t="n">
        <v>0.7292449418395175</v>
      </c>
      <c r="X15" s="9">
        <f>M15*(1-O15)*((1-B15)*N15-B15*'模型说明与假设'!$B$7-'模型说明与假设'!$B$8)</f>
        <v/>
      </c>
      <c r="Y15" s="6" t="b">
        <v>0</v>
      </c>
    </row>
    <row r="16">
      <c r="A16" s="6" t="inlineStr">
        <is>
          <t>E16</t>
        </is>
      </c>
      <c r="B16" s="6" t="n">
        <v>0.0389907435846314</v>
      </c>
      <c r="C16" s="6" t="inlineStr">
        <is>
          <t>A</t>
        </is>
      </c>
      <c r="D16" s="6" t="n">
        <v>0.7289822033515393</v>
      </c>
      <c r="E16" s="6" t="n">
        <v>0.08635890825610336</v>
      </c>
      <c r="F16" s="6" t="n">
        <v>0.232287724267886</v>
      </c>
      <c r="G16" s="6" t="n">
        <v>15</v>
      </c>
      <c r="H16" s="6" t="n">
        <v>27</v>
      </c>
      <c r="I16" s="6" t="inlineStr">
        <is>
          <t>***建筑劳务有限公司</t>
        </is>
      </c>
      <c r="J16" s="6" t="inlineStr">
        <is>
          <t>A</t>
        </is>
      </c>
      <c r="K16" s="6" t="inlineStr">
        <is>
          <t>否</t>
        </is>
      </c>
      <c r="L16" s="6" t="b">
        <v>0</v>
      </c>
      <c r="M16" s="6" t="n">
        <v>100</v>
      </c>
      <c r="N16" s="6" t="n">
        <v>0.0985</v>
      </c>
      <c r="O16" s="6" t="n">
        <v>0.708302023264193</v>
      </c>
      <c r="P16" s="6" t="n">
        <v>0.01349539686106127</v>
      </c>
      <c r="Q16" s="6" t="inlineStr"/>
      <c r="R16" s="6" t="n">
        <v>0.291697976735807</v>
      </c>
      <c r="S16" s="6" t="n">
        <v>29.1697976735807</v>
      </c>
      <c r="T16" s="6" t="n">
        <v>9.85</v>
      </c>
      <c r="U16" s="6" t="n">
        <v>2.761195888849342</v>
      </c>
      <c r="V16" s="6" t="n">
        <v>0.6824112609036975</v>
      </c>
      <c r="W16" s="6" t="n">
        <v>0.7292449418395175</v>
      </c>
      <c r="X16" s="9">
        <f>M16*(1-O16)*((1-B16)*N16-B16*'模型说明与假设'!$B$7-'模型说明与假设'!$B$8)</f>
        <v/>
      </c>
      <c r="Y16" s="6" t="b">
        <v>0</v>
      </c>
    </row>
    <row r="17">
      <c r="A17" s="6" t="inlineStr">
        <is>
          <t>E24</t>
        </is>
      </c>
      <c r="B17" s="6" t="n">
        <v>0.0395328628327646</v>
      </c>
      <c r="C17" s="6" t="inlineStr">
        <is>
          <t>A</t>
        </is>
      </c>
      <c r="D17" s="6" t="n">
        <v>0.7632130435969461</v>
      </c>
      <c r="E17" s="6" t="n">
        <v>0.07198750764469952</v>
      </c>
      <c r="F17" s="6" t="n">
        <v>0.2320305376827797</v>
      </c>
      <c r="G17" s="6" t="n">
        <v>16</v>
      </c>
      <c r="H17" s="6" t="n">
        <v>11</v>
      </c>
      <c r="I17" s="6" t="inlineStr">
        <is>
          <t>***建筑工程有限公司</t>
        </is>
      </c>
      <c r="J17" s="6" t="inlineStr">
        <is>
          <t>A</t>
        </is>
      </c>
      <c r="K17" s="6" t="inlineStr">
        <is>
          <t>否</t>
        </is>
      </c>
      <c r="L17" s="6" t="b">
        <v>0</v>
      </c>
      <c r="M17" s="6" t="n">
        <v>100</v>
      </c>
      <c r="N17" s="6" t="n">
        <v>0.0985</v>
      </c>
      <c r="O17" s="6" t="n">
        <v>0.708302023264193</v>
      </c>
      <c r="P17" s="6" t="n">
        <v>0.01338493950221202</v>
      </c>
      <c r="Q17" s="6" t="inlineStr"/>
      <c r="R17" s="6" t="n">
        <v>0.291697976735807</v>
      </c>
      <c r="S17" s="6" t="n">
        <v>29.1697976735807</v>
      </c>
      <c r="T17" s="6" t="n">
        <v>9.85</v>
      </c>
      <c r="U17" s="6" t="n">
        <v>2.759638258234216</v>
      </c>
      <c r="V17" s="6" t="n">
        <v>0.691899366173497</v>
      </c>
      <c r="W17" s="6" t="n">
        <v>0.7292449418395175</v>
      </c>
      <c r="X17" s="9">
        <f>M17*(1-O17)*((1-B17)*N17-B17*'模型说明与假设'!$B$7-'模型说明与假设'!$B$8)</f>
        <v/>
      </c>
      <c r="Y17" s="6" t="b">
        <v>0</v>
      </c>
    </row>
    <row r="18">
      <c r="A18" s="6" t="inlineStr">
        <is>
          <t>E29</t>
        </is>
      </c>
      <c r="B18" s="6" t="n">
        <v>0.0420227764059876</v>
      </c>
      <c r="C18" s="6" t="inlineStr">
        <is>
          <t>A</t>
        </is>
      </c>
      <c r="D18" s="6" t="n">
        <v>0.6152784472960441</v>
      </c>
      <c r="E18" s="6" t="n">
        <v>0.1295380845296145</v>
      </c>
      <c r="F18" s="6" t="n">
        <v>0.2071679919019661</v>
      </c>
      <c r="G18" s="6" t="n">
        <v>17</v>
      </c>
      <c r="H18" s="6" t="n">
        <v>85</v>
      </c>
      <c r="I18" s="6" t="inlineStr">
        <is>
          <t>***建筑劳务有限公司</t>
        </is>
      </c>
      <c r="J18" s="6" t="inlineStr">
        <is>
          <t>C</t>
        </is>
      </c>
      <c r="K18" s="6" t="inlineStr">
        <is>
          <t>是</t>
        </is>
      </c>
      <c r="L18" s="6" t="b">
        <v>0</v>
      </c>
      <c r="M18" s="6" t="n">
        <v>100</v>
      </c>
      <c r="N18" s="6" t="n">
        <v>0.1025</v>
      </c>
      <c r="O18" s="6" t="n">
        <v>0.731275401311664</v>
      </c>
      <c r="P18" s="6" t="n">
        <v>0.01289313740620428</v>
      </c>
      <c r="Q18" s="6" t="inlineStr"/>
      <c r="R18" s="6" t="n">
        <v>0.268724598688336</v>
      </c>
      <c r="S18" s="6" t="n">
        <v>26.8724598688336</v>
      </c>
      <c r="T18" s="6" t="n">
        <v>10.25</v>
      </c>
      <c r="U18" s="6" t="n">
        <v>2.638678460869389</v>
      </c>
      <c r="V18" s="6" t="n">
        <v>0.6775532235281214</v>
      </c>
      <c r="W18" s="6" t="n">
        <v>0.67181149672084</v>
      </c>
      <c r="X18" s="9">
        <f>M18*(1-O18)*((1-B18)*N18-B18*'模型说明与假设'!$B$7-'模型说明与假设'!$B$8)</f>
        <v/>
      </c>
      <c r="Y18" s="6" t="b">
        <v>0</v>
      </c>
    </row>
    <row r="19">
      <c r="A19" s="6" t="inlineStr">
        <is>
          <t>E48</t>
        </is>
      </c>
      <c r="B19" s="6" t="n">
        <v>0.04281419051304081</v>
      </c>
      <c r="C19" s="6" t="inlineStr">
        <is>
          <t>A</t>
        </is>
      </c>
      <c r="D19" s="6" t="n">
        <v>0.7599629132467565</v>
      </c>
      <c r="E19" s="6" t="n">
        <v>0.07336525558714768</v>
      </c>
      <c r="F19" s="6" t="n">
        <v>0.2322760791727874</v>
      </c>
      <c r="G19" s="6" t="n">
        <v>18</v>
      </c>
      <c r="H19" s="6" t="n">
        <v>13</v>
      </c>
      <c r="I19" s="6" t="inlineStr">
        <is>
          <t>***化工有限公司</t>
        </is>
      </c>
      <c r="J19" s="6" t="inlineStr">
        <is>
          <t>A</t>
        </is>
      </c>
      <c r="K19" s="6" t="inlineStr">
        <is>
          <t>否</t>
        </is>
      </c>
      <c r="L19" s="6" t="b">
        <v>0</v>
      </c>
      <c r="M19" s="6" t="n">
        <v>100</v>
      </c>
      <c r="N19" s="6" t="n">
        <v>0.1025</v>
      </c>
      <c r="O19" s="6" t="n">
        <v>0.731275401311664</v>
      </c>
      <c r="P19" s="6" t="n">
        <v>0.01274373501828858</v>
      </c>
      <c r="Q19" s="6" t="inlineStr"/>
      <c r="R19" s="6" t="n">
        <v>0.268724598688336</v>
      </c>
      <c r="S19" s="6" t="n">
        <v>26.8724598688336</v>
      </c>
      <c r="T19" s="6" t="n">
        <v>10.25</v>
      </c>
      <c r="U19" s="6" t="n">
        <v>2.636498568376669</v>
      </c>
      <c r="V19" s="6" t="n">
        <v>0.690313569826971</v>
      </c>
      <c r="W19" s="6" t="n">
        <v>0.67181149672084</v>
      </c>
      <c r="X19" s="9">
        <f>M19*(1-O19)*((1-B19)*N19-B19*'模型说明与假设'!$B$7-'模型说明与假设'!$B$8)</f>
        <v/>
      </c>
      <c r="Y19" s="6" t="b">
        <v>0</v>
      </c>
    </row>
    <row r="20">
      <c r="A20" s="6" t="inlineStr">
        <is>
          <t>E46</t>
        </is>
      </c>
      <c r="B20" s="6" t="n">
        <v>0.04343361053107686</v>
      </c>
      <c r="C20" s="6" t="inlineStr">
        <is>
          <t>A</t>
        </is>
      </c>
      <c r="D20" s="6" t="n">
        <v>0.7303889138462101</v>
      </c>
      <c r="E20" s="6" t="n">
        <v>0.08262914336688458</v>
      </c>
      <c r="F20" s="6" t="n">
        <v>0.2238461746389625</v>
      </c>
      <c r="G20" s="6" t="n">
        <v>19</v>
      </c>
      <c r="H20" s="6" t="n">
        <v>26</v>
      </c>
      <c r="I20" s="6" t="inlineStr">
        <is>
          <t>***广告传媒有限公司</t>
        </is>
      </c>
      <c r="J20" s="6" t="inlineStr">
        <is>
          <t>C</t>
        </is>
      </c>
      <c r="K20" s="6" t="inlineStr">
        <is>
          <t>否</t>
        </is>
      </c>
      <c r="L20" s="6" t="b">
        <v>0</v>
      </c>
      <c r="M20" s="6" t="n">
        <v>100</v>
      </c>
      <c r="N20" s="6" t="n">
        <v>0.1025</v>
      </c>
      <c r="O20" s="6" t="n">
        <v>0.731275401311664</v>
      </c>
      <c r="P20" s="6" t="n">
        <v>0.01262680150776278</v>
      </c>
      <c r="Q20" s="6" t="inlineStr"/>
      <c r="R20" s="6" t="n">
        <v>0.268724598688336</v>
      </c>
      <c r="S20" s="6" t="n">
        <v>26.8724598688336</v>
      </c>
      <c r="T20" s="6" t="n">
        <v>10.25</v>
      </c>
      <c r="U20" s="6" t="n">
        <v>2.634792421070065</v>
      </c>
      <c r="V20" s="6" t="n">
        <v>0.7003007735729467</v>
      </c>
      <c r="W20" s="6" t="n">
        <v>0.67181149672084</v>
      </c>
      <c r="X20" s="9">
        <f>M20*(1-O20)*((1-B20)*N20-B20*'模型说明与假设'!$B$7-'模型说明与假设'!$B$8)</f>
        <v/>
      </c>
      <c r="Y20" s="6" t="b">
        <v>0</v>
      </c>
    </row>
    <row r="21">
      <c r="A21" s="6" t="inlineStr">
        <is>
          <t>E40</t>
        </is>
      </c>
      <c r="B21" s="6" t="n">
        <v>0.04368328229263352</v>
      </c>
      <c r="C21" s="6" t="inlineStr">
        <is>
          <t>A</t>
        </is>
      </c>
      <c r="D21" s="6" t="n">
        <v>0.7873465247518898</v>
      </c>
      <c r="E21" s="6" t="n">
        <v>0.0632388708764989</v>
      </c>
      <c r="F21" s="6" t="n">
        <v>0.2341410369887071</v>
      </c>
      <c r="G21" s="6" t="n">
        <v>20</v>
      </c>
      <c r="H21" s="6" t="n">
        <v>5</v>
      </c>
      <c r="I21" s="6" t="inlineStr">
        <is>
          <t>***财税咨询服务有限公司</t>
        </is>
      </c>
      <c r="J21" s="6" t="inlineStr">
        <is>
          <t>C</t>
        </is>
      </c>
      <c r="K21" s="6" t="inlineStr">
        <is>
          <t>否</t>
        </is>
      </c>
      <c r="L21" s="6" t="b">
        <v>0</v>
      </c>
      <c r="M21" s="6" t="n">
        <v>100</v>
      </c>
      <c r="N21" s="6" t="n">
        <v>0.1025</v>
      </c>
      <c r="O21" s="6" t="n">
        <v>0.731275401311664</v>
      </c>
      <c r="P21" s="6" t="n">
        <v>0.01257966871465328</v>
      </c>
      <c r="Q21" s="6" t="inlineStr"/>
      <c r="R21" s="6" t="n">
        <v>0.268724598688336</v>
      </c>
      <c r="S21" s="6" t="n">
        <v>26.8724598688336</v>
      </c>
      <c r="T21" s="6" t="n">
        <v>10.25</v>
      </c>
      <c r="U21" s="6" t="n">
        <v>2.634104718394802</v>
      </c>
      <c r="V21" s="6" t="n">
        <v>0.7043263502086341</v>
      </c>
      <c r="W21" s="6" t="n">
        <v>0.67181149672084</v>
      </c>
      <c r="X21" s="9">
        <f>M21*(1-O21)*((1-B21)*N21-B21*'模型说明与假设'!$B$7-'模型说明与假设'!$B$8)</f>
        <v/>
      </c>
      <c r="Y21" s="6" t="b">
        <v>0</v>
      </c>
    </row>
    <row r="22">
      <c r="A22" s="6" t="inlineStr">
        <is>
          <t>E75</t>
        </is>
      </c>
      <c r="B22" s="6" t="n">
        <v>0.04632433009130059</v>
      </c>
      <c r="C22" s="6" t="inlineStr">
        <is>
          <t>A</t>
        </is>
      </c>
      <c r="D22" s="6" t="n">
        <v>0.7032666906859734</v>
      </c>
      <c r="E22" s="6" t="n">
        <v>0.0958384556034091</v>
      </c>
      <c r="F22" s="6" t="n">
        <v>0.2271399650699009</v>
      </c>
      <c r="G22" s="6" t="n">
        <v>21</v>
      </c>
      <c r="H22" s="6" t="n">
        <v>39</v>
      </c>
      <c r="I22" s="6" t="inlineStr">
        <is>
          <t>***酒店管理有限公司</t>
        </is>
      </c>
      <c r="J22" s="6" t="inlineStr">
        <is>
          <t>C</t>
        </is>
      </c>
      <c r="K22" s="6" t="inlineStr">
        <is>
          <t>否</t>
        </is>
      </c>
      <c r="L22" s="6" t="b">
        <v>0</v>
      </c>
      <c r="M22" s="6" t="n">
        <v>100</v>
      </c>
      <c r="N22" s="6" t="n">
        <v>0.1025</v>
      </c>
      <c r="O22" s="6" t="n">
        <v>0.731275401311664</v>
      </c>
      <c r="P22" s="6" t="n">
        <v>0.01208109427150928</v>
      </c>
      <c r="Q22" s="6" t="inlineStr"/>
      <c r="R22" s="6" t="n">
        <v>0.268724598688336</v>
      </c>
      <c r="S22" s="6" t="n">
        <v>26.8724598688336</v>
      </c>
      <c r="T22" s="6" t="n">
        <v>10.25</v>
      </c>
      <c r="U22" s="6" t="n">
        <v>2.626830144669213</v>
      </c>
      <c r="V22" s="6" t="n">
        <v>0.7469092207974454</v>
      </c>
      <c r="W22" s="6" t="n">
        <v>0.67181149672084</v>
      </c>
      <c r="X22" s="9">
        <f>M22*(1-O22)*((1-B22)*N22-B22*'模型说明与假设'!$B$7-'模型说明与假设'!$B$8)</f>
        <v/>
      </c>
      <c r="Y22" s="6" t="b">
        <v>0</v>
      </c>
    </row>
    <row r="23">
      <c r="A23" s="6" t="inlineStr">
        <is>
          <t>E47</t>
        </is>
      </c>
      <c r="B23" s="6" t="n">
        <v>0.04695604476725505</v>
      </c>
      <c r="C23" s="6" t="inlineStr">
        <is>
          <t>A</t>
        </is>
      </c>
      <c r="D23" s="6" t="n">
        <v>0.7429366500861967</v>
      </c>
      <c r="E23" s="6" t="n">
        <v>0.07982591100730609</v>
      </c>
      <c r="F23" s="6" t="n">
        <v>0.230704201644197</v>
      </c>
      <c r="G23" s="6" t="n">
        <v>22</v>
      </c>
      <c r="H23" s="6" t="n">
        <v>18</v>
      </c>
      <c r="I23" s="6" t="inlineStr">
        <is>
          <t>***控制设备有限责任公司</t>
        </is>
      </c>
      <c r="J23" s="6" t="inlineStr">
        <is>
          <t>C</t>
        </is>
      </c>
      <c r="K23" s="6" t="inlineStr">
        <is>
          <t>否</t>
        </is>
      </c>
      <c r="L23" s="6" t="b">
        <v>0</v>
      </c>
      <c r="M23" s="6" t="n">
        <v>100</v>
      </c>
      <c r="N23" s="6" t="n">
        <v>0.1025</v>
      </c>
      <c r="O23" s="6" t="n">
        <v>0.731275401311664</v>
      </c>
      <c r="P23" s="6" t="n">
        <v>0.01196183978738035</v>
      </c>
      <c r="Q23" s="6" t="inlineStr"/>
      <c r="R23" s="6" t="n">
        <v>0.268724598688336</v>
      </c>
      <c r="S23" s="6" t="n">
        <v>26.8724598688336</v>
      </c>
      <c r="T23" s="6" t="n">
        <v>10.25</v>
      </c>
      <c r="U23" s="6" t="n">
        <v>2.625090132623205</v>
      </c>
      <c r="V23" s="6" t="n">
        <v>0.7570946571643292</v>
      </c>
      <c r="W23" s="6" t="n">
        <v>0.67181149672084</v>
      </c>
      <c r="X23" s="9">
        <f>M23*(1-O23)*((1-B23)*N23-B23*'模型说明与假设'!$B$7-'模型说明与假设'!$B$8)</f>
        <v/>
      </c>
      <c r="Y23" s="6" t="b">
        <v>0</v>
      </c>
    </row>
    <row r="24">
      <c r="A24" s="6" t="inlineStr">
        <is>
          <t>E18</t>
        </is>
      </c>
      <c r="B24" s="6" t="n">
        <v>0.0475440416830518</v>
      </c>
      <c r="C24" s="6" t="inlineStr">
        <is>
          <t>A</t>
        </is>
      </c>
      <c r="D24" s="6" t="n">
        <v>0.7369173681309599</v>
      </c>
      <c r="E24" s="6" t="n">
        <v>0.08145788106942209</v>
      </c>
      <c r="F24" s="6" t="n">
        <v>0.2281706204044837</v>
      </c>
      <c r="G24" s="6" t="n">
        <v>23</v>
      </c>
      <c r="H24" s="6" t="n">
        <v>21</v>
      </c>
      <c r="I24" s="6" t="inlineStr">
        <is>
          <t>***消防工程有限责任公司</t>
        </is>
      </c>
      <c r="J24" s="6" t="inlineStr">
        <is>
          <t>A</t>
        </is>
      </c>
      <c r="K24" s="6" t="inlineStr">
        <is>
          <t>否</t>
        </is>
      </c>
      <c r="L24" s="6" t="b">
        <v>0</v>
      </c>
      <c r="M24" s="6" t="n">
        <v>100</v>
      </c>
      <c r="N24" s="6" t="n">
        <v>0.1025</v>
      </c>
      <c r="O24" s="6" t="n">
        <v>0.731275401311664</v>
      </c>
      <c r="P24" s="6" t="n">
        <v>0.01185083829963306</v>
      </c>
      <c r="Q24" s="6" t="inlineStr"/>
      <c r="R24" s="6" t="n">
        <v>0.268724598688336</v>
      </c>
      <c r="S24" s="6" t="n">
        <v>26.8724598688336</v>
      </c>
      <c r="T24" s="6" t="n">
        <v>10.25</v>
      </c>
      <c r="U24" s="6" t="n">
        <v>2.623470537962123</v>
      </c>
      <c r="V24" s="6" t="n">
        <v>0.7665752112779768</v>
      </c>
      <c r="W24" s="6" t="n">
        <v>0.67181149672084</v>
      </c>
      <c r="X24" s="9">
        <f>M24*(1-O24)*((1-B24)*N24-B24*'模型说明与假设'!$B$7-'模型说明与假设'!$B$8)</f>
        <v/>
      </c>
      <c r="Y24" s="6" t="b">
        <v>0</v>
      </c>
    </row>
    <row r="25">
      <c r="A25" s="6" t="inlineStr">
        <is>
          <t>E19</t>
        </is>
      </c>
      <c r="B25" s="6" t="n">
        <v>0.04785572382404164</v>
      </c>
      <c r="C25" s="6" t="inlineStr">
        <is>
          <t>A</t>
        </is>
      </c>
      <c r="D25" s="6" t="n">
        <v>0.602112165429938</v>
      </c>
      <c r="E25" s="6" t="n">
        <v>0.1347677007457047</v>
      </c>
      <c r="F25" s="6" t="n">
        <v>0.2039400682197074</v>
      </c>
      <c r="G25" s="6" t="n">
        <v>24</v>
      </c>
      <c r="H25" s="6" t="n">
        <v>89</v>
      </c>
      <c r="I25" s="6" t="inlineStr">
        <is>
          <t>***科技有限公司</t>
        </is>
      </c>
      <c r="J25" s="6" t="inlineStr">
        <is>
          <t>A</t>
        </is>
      </c>
      <c r="K25" s="6" t="inlineStr">
        <is>
          <t>否</t>
        </is>
      </c>
      <c r="L25" s="6" t="b">
        <v>0</v>
      </c>
      <c r="M25" s="6" t="n">
        <v>100</v>
      </c>
      <c r="N25" s="6" t="n">
        <v>0.1025</v>
      </c>
      <c r="O25" s="6" t="n">
        <v>0.731275401311664</v>
      </c>
      <c r="P25" s="6" t="n">
        <v>0.01179199924720835</v>
      </c>
      <c r="Q25" s="6" t="inlineStr"/>
      <c r="R25" s="6" t="n">
        <v>0.268724598688336</v>
      </c>
      <c r="S25" s="6" t="n">
        <v>26.8724598688336</v>
      </c>
      <c r="T25" s="6" t="n">
        <v>10.25</v>
      </c>
      <c r="U25" s="6" t="n">
        <v>2.622612032215</v>
      </c>
      <c r="V25" s="6" t="n">
        <v>0.7716006107733258</v>
      </c>
      <c r="W25" s="6" t="n">
        <v>0.67181149672084</v>
      </c>
      <c r="X25" s="9">
        <f>M25*(1-O25)*((1-B25)*N25-B25*'模型说明与假设'!$B$7-'模型说明与假设'!$B$8)</f>
        <v/>
      </c>
      <c r="Y25" s="6" t="b">
        <v>0</v>
      </c>
    </row>
    <row r="26">
      <c r="A26" s="6" t="inlineStr">
        <is>
          <t>E6</t>
        </is>
      </c>
      <c r="B26" s="6" t="n">
        <v>0.04862402221675421</v>
      </c>
      <c r="C26" s="6" t="inlineStr">
        <is>
          <t>A</t>
        </is>
      </c>
      <c r="D26" s="6" t="n">
        <v>0.7756295403733278</v>
      </c>
      <c r="E26" s="6" t="n">
        <v>0.0683943431428094</v>
      </c>
      <c r="F26" s="6" t="n">
        <v>0.2364334102816389</v>
      </c>
      <c r="G26" s="6" t="n">
        <v>25</v>
      </c>
      <c r="H26" s="6" t="n">
        <v>7</v>
      </c>
      <c r="I26" s="6" t="inlineStr">
        <is>
          <t>***装饰设计工程有限公司</t>
        </is>
      </c>
      <c r="J26" s="6" t="inlineStr">
        <is>
          <t>A</t>
        </is>
      </c>
      <c r="K26" s="6" t="inlineStr">
        <is>
          <t>否</t>
        </is>
      </c>
      <c r="L26" s="6" t="b">
        <v>0</v>
      </c>
      <c r="M26" s="6" t="n">
        <v>100</v>
      </c>
      <c r="N26" s="6" t="n">
        <v>0.1025</v>
      </c>
      <c r="O26" s="6" t="n">
        <v>0.731275401311664</v>
      </c>
      <c r="P26" s="6" t="n">
        <v>0.01164696062143701</v>
      </c>
      <c r="Q26" s="6" t="inlineStr"/>
      <c r="R26" s="6" t="n">
        <v>0.268724598688336</v>
      </c>
      <c r="S26" s="6" t="n">
        <v>26.8724598688336</v>
      </c>
      <c r="T26" s="6" t="n">
        <v>10.25</v>
      </c>
      <c r="U26" s="6" t="n">
        <v>2.620495810273141</v>
      </c>
      <c r="V26" s="6" t="n">
        <v>0.7839882514086005</v>
      </c>
      <c r="W26" s="6" t="n">
        <v>0.67181149672084</v>
      </c>
      <c r="X26" s="9">
        <f>M26*(1-O26)*((1-B26)*N26-B26*'模型说明与假设'!$B$7-'模型说明与假设'!$B$8)</f>
        <v/>
      </c>
      <c r="Y26" s="6" t="b">
        <v>0</v>
      </c>
    </row>
    <row r="27">
      <c r="A27" s="6" t="inlineStr">
        <is>
          <t>E21</t>
        </is>
      </c>
      <c r="B27" s="6" t="n">
        <v>0.04899485014562435</v>
      </c>
      <c r="C27" s="6" t="inlineStr">
        <is>
          <t>A</t>
        </is>
      </c>
      <c r="D27" s="6" t="n">
        <v>0.7599940174784231</v>
      </c>
      <c r="E27" s="6" t="n">
        <v>0.07061083081147049</v>
      </c>
      <c r="F27" s="6" t="n">
        <v>0.2235936305507477</v>
      </c>
      <c r="G27" s="6" t="n">
        <v>26</v>
      </c>
      <c r="H27" s="6" t="n">
        <v>12</v>
      </c>
      <c r="I27" s="6" t="inlineStr">
        <is>
          <t>***建设工程有限公司</t>
        </is>
      </c>
      <c r="J27" s="6" t="inlineStr">
        <is>
          <t>B</t>
        </is>
      </c>
      <c r="K27" s="6" t="inlineStr">
        <is>
          <t>否</t>
        </is>
      </c>
      <c r="L27" s="6" t="b">
        <v>0</v>
      </c>
      <c r="M27" s="6" t="n">
        <v>100</v>
      </c>
      <c r="N27" s="6" t="n">
        <v>0.1025</v>
      </c>
      <c r="O27" s="6" t="n">
        <v>0.731275401311664</v>
      </c>
      <c r="P27" s="6" t="n">
        <v>0.01157695608451345</v>
      </c>
      <c r="Q27" s="6" t="inlineStr"/>
      <c r="R27" s="6" t="n">
        <v>0.268724598688336</v>
      </c>
      <c r="S27" s="6" t="n">
        <v>26.8724598688336</v>
      </c>
      <c r="T27" s="6" t="n">
        <v>10.25</v>
      </c>
      <c r="U27" s="6" t="n">
        <v>2.619474391762869</v>
      </c>
      <c r="V27" s="6" t="n">
        <v>0.7899672865906837</v>
      </c>
      <c r="W27" s="6" t="n">
        <v>0.67181149672084</v>
      </c>
      <c r="X27" s="9">
        <f>M27*(1-O27)*((1-B27)*N27-B27*'模型说明与假设'!$B$7-'模型说明与假设'!$B$8)</f>
        <v/>
      </c>
      <c r="Y27" s="6" t="b">
        <v>0</v>
      </c>
    </row>
    <row r="28">
      <c r="A28" s="6" t="inlineStr">
        <is>
          <t>E51</t>
        </is>
      </c>
      <c r="B28" s="6" t="n">
        <v>0.05315576229056488</v>
      </c>
      <c r="C28" s="6" t="inlineStr">
        <is>
          <t>A</t>
        </is>
      </c>
      <c r="D28" s="6" t="n">
        <v>0.7312806265891683</v>
      </c>
      <c r="E28" s="6" t="n">
        <v>0.08204469026775382</v>
      </c>
      <c r="F28" s="6" t="n">
        <v>0.2232726719542835</v>
      </c>
      <c r="G28" s="6" t="n">
        <v>27</v>
      </c>
      <c r="H28" s="6" t="n">
        <v>25</v>
      </c>
      <c r="I28" s="6" t="inlineStr">
        <is>
          <t>***物流有限公司</t>
        </is>
      </c>
      <c r="J28" s="6" t="inlineStr">
        <is>
          <t>B</t>
        </is>
      </c>
      <c r="K28" s="6" t="inlineStr">
        <is>
          <t>否</t>
        </is>
      </c>
      <c r="L28" s="6" t="b">
        <v>0</v>
      </c>
      <c r="M28" s="6" t="n">
        <v>100</v>
      </c>
      <c r="N28" s="6" t="n">
        <v>0.1225</v>
      </c>
      <c r="O28" s="6" t="n">
        <v>0.81480900767149</v>
      </c>
      <c r="P28" s="6" t="n">
        <v>0.01094385460718427</v>
      </c>
      <c r="Q28" s="6" t="inlineStr"/>
      <c r="R28" s="6" t="n">
        <v>0.18519099232851</v>
      </c>
      <c r="S28" s="6" t="n">
        <v>18.519099232851</v>
      </c>
      <c r="T28" s="6" t="n">
        <v>12.25</v>
      </c>
      <c r="U28" s="6" t="n">
        <v>2.148001043533788</v>
      </c>
      <c r="V28" s="6" t="n">
        <v>0.5906381019940861</v>
      </c>
      <c r="W28" s="6" t="n">
        <v>0.462977480821275</v>
      </c>
      <c r="X28" s="9">
        <f>M28*(1-O28)*((1-B28)*N28-B28*'模型说明与假设'!$B$7-'模型说明与假设'!$B$8)</f>
        <v/>
      </c>
      <c r="Y28" s="6" t="b">
        <v>0</v>
      </c>
    </row>
    <row r="29">
      <c r="A29" s="6" t="inlineStr">
        <is>
          <t>E61</t>
        </is>
      </c>
      <c r="B29" s="6" t="n">
        <v>0.05645656576397333</v>
      </c>
      <c r="C29" s="6" t="inlineStr">
        <is>
          <t>A</t>
        </is>
      </c>
      <c r="D29" s="6" t="n">
        <v>0.7003455698106157</v>
      </c>
      <c r="E29" s="6" t="n">
        <v>0.0966398507192015</v>
      </c>
      <c r="F29" s="6" t="n">
        <v>0.2258644775436051</v>
      </c>
      <c r="G29" s="6" t="n">
        <v>28</v>
      </c>
      <c r="H29" s="6" t="n">
        <v>42</v>
      </c>
      <c r="I29" s="6" t="inlineStr">
        <is>
          <t>***调味品有限公司</t>
        </is>
      </c>
      <c r="J29" s="6" t="inlineStr">
        <is>
          <t>B</t>
        </is>
      </c>
      <c r="K29" s="6" t="inlineStr">
        <is>
          <t>否</t>
        </is>
      </c>
      <c r="L29" s="6" t="b">
        <v>0</v>
      </c>
      <c r="M29" s="6" t="n">
        <v>100</v>
      </c>
      <c r="N29" s="6" t="n">
        <v>0.1225</v>
      </c>
      <c r="O29" s="6" t="n">
        <v>0.81480900767149</v>
      </c>
      <c r="P29" s="6" t="n">
        <v>0.0105022054785877</v>
      </c>
      <c r="Q29" s="6" t="inlineStr"/>
      <c r="R29" s="6" t="n">
        <v>0.18519099232851</v>
      </c>
      <c r="S29" s="6" t="n">
        <v>18.519099232851</v>
      </c>
      <c r="T29" s="6" t="n">
        <v>12.25</v>
      </c>
      <c r="U29" s="6" t="n">
        <v>2.140512874917444</v>
      </c>
      <c r="V29" s="6" t="n">
        <v>0.6273148462374002</v>
      </c>
      <c r="W29" s="6" t="n">
        <v>0.462977480821275</v>
      </c>
      <c r="X29" s="9">
        <f>M29*(1-O29)*((1-B29)*N29-B29*'模型说明与假设'!$B$7-'模型说明与假设'!$B$8)</f>
        <v/>
      </c>
      <c r="Y29" s="6" t="b">
        <v>0</v>
      </c>
    </row>
    <row r="30">
      <c r="A30" s="6" t="inlineStr">
        <is>
          <t>E41</t>
        </is>
      </c>
      <c r="B30" s="6" t="n">
        <v>0.05792726832889572</v>
      </c>
      <c r="C30" s="6" t="inlineStr">
        <is>
          <t>A</t>
        </is>
      </c>
      <c r="D30" s="6" t="n">
        <v>0.7323605564200453</v>
      </c>
      <c r="E30" s="6" t="n">
        <v>0.08359214638659311</v>
      </c>
      <c r="F30" s="6" t="n">
        <v>0.2287390454155628</v>
      </c>
      <c r="G30" s="6" t="n">
        <v>29</v>
      </c>
      <c r="H30" s="6" t="n">
        <v>24</v>
      </c>
      <c r="I30" s="6" t="inlineStr">
        <is>
          <t>***物业发展有限公司</t>
        </is>
      </c>
      <c r="J30" s="6" t="inlineStr">
        <is>
          <t>C</t>
        </is>
      </c>
      <c r="K30" s="6" t="inlineStr">
        <is>
          <t>否</t>
        </is>
      </c>
      <c r="L30" s="6" t="b">
        <v>0</v>
      </c>
      <c r="M30" s="6" t="n">
        <v>100</v>
      </c>
      <c r="N30" s="6" t="n">
        <v>0.1225</v>
      </c>
      <c r="O30" s="6" t="n">
        <v>0.81480900767149</v>
      </c>
      <c r="P30" s="6" t="n">
        <v>0.01030542475187814</v>
      </c>
      <c r="Q30" s="6" t="inlineStr"/>
      <c r="R30" s="6" t="n">
        <v>0.18519099232851</v>
      </c>
      <c r="S30" s="6" t="n">
        <v>18.519099232851</v>
      </c>
      <c r="T30" s="6" t="n">
        <v>12.25</v>
      </c>
      <c r="U30" s="6" t="n">
        <v>2.137176454291573</v>
      </c>
      <c r="V30" s="6" t="n">
        <v>0.6436564982824841</v>
      </c>
      <c r="W30" s="6" t="n">
        <v>0.462977480821275</v>
      </c>
      <c r="X30" s="9">
        <f>M30*(1-O30)*((1-B30)*N30-B30*'模型说明与假设'!$B$7-'模型说明与假设'!$B$8)</f>
        <v/>
      </c>
      <c r="Y30" s="6" t="b">
        <v>0</v>
      </c>
    </row>
    <row r="31">
      <c r="A31" s="6" t="inlineStr">
        <is>
          <t>E5</t>
        </is>
      </c>
      <c r="B31" s="6" t="n">
        <v>0.05807896051822666</v>
      </c>
      <c r="C31" s="6" t="inlineStr">
        <is>
          <t>A</t>
        </is>
      </c>
      <c r="D31" s="6" t="n">
        <v>0.7356532392750084</v>
      </c>
      <c r="E31" s="6" t="n">
        <v>0.08012848303998944</v>
      </c>
      <c r="F31" s="6" t="n">
        <v>0.2229903553381728</v>
      </c>
      <c r="G31" s="6" t="n">
        <v>30</v>
      </c>
      <c r="H31" s="6" t="n">
        <v>23</v>
      </c>
      <c r="I31" s="6" t="inlineStr">
        <is>
          <t>***供应链管理有限公司</t>
        </is>
      </c>
      <c r="J31" s="6" t="inlineStr">
        <is>
          <t>B</t>
        </is>
      </c>
      <c r="K31" s="6" t="inlineStr">
        <is>
          <t>否</t>
        </is>
      </c>
      <c r="L31" s="6" t="b">
        <v>0</v>
      </c>
      <c r="M31" s="6" t="n">
        <v>100</v>
      </c>
      <c r="N31" s="6" t="n">
        <v>0.1225</v>
      </c>
      <c r="O31" s="6" t="n">
        <v>0.81480900767149</v>
      </c>
      <c r="P31" s="6" t="n">
        <v>0.01028512826231958</v>
      </c>
      <c r="Q31" s="6" t="inlineStr"/>
      <c r="R31" s="6" t="n">
        <v>0.18519099232851</v>
      </c>
      <c r="S31" s="6" t="n">
        <v>18.519099232851</v>
      </c>
      <c r="T31" s="6" t="n">
        <v>12.25</v>
      </c>
      <c r="U31" s="6" t="n">
        <v>2.136832326959957</v>
      </c>
      <c r="V31" s="6" t="n">
        <v>0.6453420199067249</v>
      </c>
      <c r="W31" s="6" t="n">
        <v>0.462977480821275</v>
      </c>
      <c r="X31" s="9">
        <f>M31*(1-O31)*((1-B31)*N31-B31*'模型说明与假设'!$B$7-'模型说明与假设'!$B$8)</f>
        <v/>
      </c>
      <c r="Y31" s="6" t="b">
        <v>0</v>
      </c>
    </row>
    <row r="32">
      <c r="A32" s="6" t="inlineStr">
        <is>
          <t>E25</t>
        </is>
      </c>
      <c r="B32" s="6" t="n">
        <v>0.05960413957572462</v>
      </c>
      <c r="C32" s="6" t="inlineStr">
        <is>
          <t>A</t>
        </is>
      </c>
      <c r="D32" s="6" t="n">
        <v>0.7534614560314942</v>
      </c>
      <c r="E32" s="6" t="n">
        <v>0.07487432751258359</v>
      </c>
      <c r="F32" s="6" t="n">
        <v>0.2288279914325159</v>
      </c>
      <c r="G32" s="6" t="n">
        <v>31</v>
      </c>
      <c r="H32" s="6" t="n">
        <v>15</v>
      </c>
      <c r="I32" s="6" t="inlineStr">
        <is>
          <t>***通讯设备有限公司</t>
        </is>
      </c>
      <c r="J32" s="6" t="inlineStr">
        <is>
          <t>C</t>
        </is>
      </c>
      <c r="K32" s="6" t="inlineStr">
        <is>
          <t>否</t>
        </is>
      </c>
      <c r="L32" s="6" t="b">
        <v>0</v>
      </c>
      <c r="M32" s="6" t="n">
        <v>100</v>
      </c>
      <c r="N32" s="6" t="n">
        <v>0.1225</v>
      </c>
      <c r="O32" s="6" t="n">
        <v>0.81480900767149</v>
      </c>
      <c r="P32" s="6" t="n">
        <v>0.0100810585541033</v>
      </c>
      <c r="Q32" s="6" t="inlineStr"/>
      <c r="R32" s="6" t="n">
        <v>0.18519099232851</v>
      </c>
      <c r="S32" s="6" t="n">
        <v>18.519099232851</v>
      </c>
      <c r="T32" s="6" t="n">
        <v>12.25</v>
      </c>
      <c r="U32" s="6" t="n">
        <v>2.133372321526533</v>
      </c>
      <c r="V32" s="6" t="n">
        <v>0.6622889852949273</v>
      </c>
      <c r="W32" s="6" t="n">
        <v>0.462977480821275</v>
      </c>
      <c r="X32" s="9">
        <f>M32*(1-O32)*((1-B32)*N32-B32*'模型说明与假设'!$B$7-'模型说明与假设'!$B$8)</f>
        <v/>
      </c>
      <c r="Y32" s="6" t="b">
        <v>0</v>
      </c>
    </row>
    <row r="33">
      <c r="A33" s="6" t="inlineStr">
        <is>
          <t>E45</t>
        </is>
      </c>
      <c r="B33" s="6" t="n">
        <v>0.06106307851470301</v>
      </c>
      <c r="C33" s="6" t="inlineStr">
        <is>
          <t>A</t>
        </is>
      </c>
      <c r="D33" s="6" t="n">
        <v>0.7197718693277447</v>
      </c>
      <c r="E33" s="6" t="n">
        <v>0.08324566920098467</v>
      </c>
      <c r="F33" s="6" t="n">
        <v>0.2138182586826361</v>
      </c>
      <c r="G33" s="6" t="n">
        <v>32</v>
      </c>
      <c r="H33" s="6" t="n">
        <v>28</v>
      </c>
      <c r="I33" s="6" t="inlineStr">
        <is>
          <t>个体经营E45</t>
        </is>
      </c>
      <c r="J33" s="6" t="inlineStr">
        <is>
          <t>B</t>
        </is>
      </c>
      <c r="K33" s="6" t="inlineStr">
        <is>
          <t>是</t>
        </is>
      </c>
      <c r="L33" s="6" t="b">
        <v>0</v>
      </c>
      <c r="M33" s="6" t="n">
        <v>100</v>
      </c>
      <c r="N33" s="6" t="n">
        <v>0.1225</v>
      </c>
      <c r="O33" s="6" t="n">
        <v>0.81480900767149</v>
      </c>
      <c r="P33" s="6" t="n">
        <v>0.009885851806332262</v>
      </c>
      <c r="Q33" s="6" t="inlineStr"/>
      <c r="R33" s="6" t="n">
        <v>0.18519099232851</v>
      </c>
      <c r="S33" s="6" t="n">
        <v>18.519099232851</v>
      </c>
      <c r="T33" s="6" t="n">
        <v>12.25</v>
      </c>
      <c r="U33" s="6" t="n">
        <v>2.130062587740796</v>
      </c>
      <c r="V33" s="6" t="n">
        <v>0.6784999262862941</v>
      </c>
      <c r="W33" s="6" t="n">
        <v>0.462977480821275</v>
      </c>
      <c r="X33" s="9">
        <f>M33*(1-O33)*((1-B33)*N33-B33*'模型说明与假设'!$B$7-'模型说明与假设'!$B$8)</f>
        <v/>
      </c>
      <c r="Y33" s="6" t="b">
        <v>0</v>
      </c>
    </row>
    <row r="34">
      <c r="A34" s="6" t="inlineStr">
        <is>
          <t>E10</t>
        </is>
      </c>
      <c r="B34" s="6" t="n">
        <v>0.06156688228251685</v>
      </c>
      <c r="C34" s="6" t="inlineStr">
        <is>
          <t>A</t>
        </is>
      </c>
      <c r="D34" s="6" t="n">
        <v>0.7129108446438341</v>
      </c>
      <c r="E34" s="6" t="n">
        <v>0.0947484512273285</v>
      </c>
      <c r="F34" s="6" t="n">
        <v>0.2352830022763143</v>
      </c>
      <c r="G34" s="6" t="n">
        <v>33</v>
      </c>
      <c r="H34" s="6" t="n">
        <v>34</v>
      </c>
      <c r="I34" s="6" t="inlineStr">
        <is>
          <t>***建筑劳务有限公司</t>
        </is>
      </c>
      <c r="J34" s="6" t="inlineStr">
        <is>
          <t>B</t>
        </is>
      </c>
      <c r="K34" s="6" t="inlineStr">
        <is>
          <t>否</t>
        </is>
      </c>
      <c r="L34" s="6" t="b">
        <v>0</v>
      </c>
      <c r="M34" s="6" t="n">
        <v>100</v>
      </c>
      <c r="N34" s="6" t="n">
        <v>0.1225</v>
      </c>
      <c r="O34" s="6" t="n">
        <v>0.81480900767149</v>
      </c>
      <c r="P34" s="6" t="n">
        <v>0.009818442614348808</v>
      </c>
      <c r="Q34" s="6" t="inlineStr"/>
      <c r="R34" s="6" t="n">
        <v>0.18519099232851</v>
      </c>
      <c r="S34" s="6" t="n">
        <v>18.519099232851</v>
      </c>
      <c r="T34" s="6" t="n">
        <v>12.25</v>
      </c>
      <c r="U34" s="6" t="n">
        <v>2.128919663724467</v>
      </c>
      <c r="V34" s="6" t="n">
        <v>0.6840979214683113</v>
      </c>
      <c r="W34" s="6" t="n">
        <v>0.462977480821275</v>
      </c>
      <c r="X34" s="9">
        <f>M34*(1-O34)*((1-B34)*N34-B34*'模型说明与假设'!$B$7-'模型说明与假设'!$B$8)</f>
        <v/>
      </c>
      <c r="Y34" s="6" t="b">
        <v>0</v>
      </c>
    </row>
    <row r="35">
      <c r="A35" s="6" t="inlineStr">
        <is>
          <t>E20</t>
        </is>
      </c>
      <c r="B35" s="6" t="n">
        <v>0.06252440272551799</v>
      </c>
      <c r="C35" s="6" t="inlineStr">
        <is>
          <t>A</t>
        </is>
      </c>
      <c r="D35" s="6" t="n">
        <v>0.7018536319553157</v>
      </c>
      <c r="E35" s="6" t="n">
        <v>0.09473693918169762</v>
      </c>
      <c r="F35" s="6" t="n">
        <v>0.223016182558491</v>
      </c>
      <c r="G35" s="6" t="n">
        <v>34</v>
      </c>
      <c r="H35" s="6" t="n">
        <v>40</v>
      </c>
      <c r="I35" s="6" t="inlineStr">
        <is>
          <t>***贸易有限公司</t>
        </is>
      </c>
      <c r="J35" s="6" t="inlineStr">
        <is>
          <t>B</t>
        </is>
      </c>
      <c r="K35" s="6" t="inlineStr">
        <is>
          <t>否</t>
        </is>
      </c>
      <c r="L35" s="6" t="b">
        <v>0</v>
      </c>
      <c r="M35" s="6" t="n">
        <v>100</v>
      </c>
      <c r="N35" s="6" t="n">
        <v>0.1225</v>
      </c>
      <c r="O35" s="6" t="n">
        <v>0.81480900767149</v>
      </c>
      <c r="P35" s="6" t="n">
        <v>0.009690325908016037</v>
      </c>
      <c r="Q35" s="6" t="inlineStr"/>
      <c r="R35" s="6" t="n">
        <v>0.18519099232851</v>
      </c>
      <c r="S35" s="6" t="n">
        <v>18.519099232851</v>
      </c>
      <c r="T35" s="6" t="n">
        <v>12.25</v>
      </c>
      <c r="U35" s="6" t="n">
        <v>2.126747442752043</v>
      </c>
      <c r="V35" s="6" t="n">
        <v>0.6947373711291641</v>
      </c>
      <c r="W35" s="6" t="n">
        <v>0.462977480821275</v>
      </c>
      <c r="X35" s="9">
        <f>M35*(1-O35)*((1-B35)*N35-B35*'模型说明与假设'!$B$7-'模型说明与假设'!$B$8)</f>
        <v/>
      </c>
      <c r="Y35" s="6" t="b">
        <v>0</v>
      </c>
    </row>
    <row r="36">
      <c r="A36" s="6" t="inlineStr">
        <is>
          <t>E69</t>
        </is>
      </c>
      <c r="B36" s="6" t="n">
        <v>0.06293489807587462</v>
      </c>
      <c r="C36" s="6" t="inlineStr">
        <is>
          <t>A</t>
        </is>
      </c>
      <c r="D36" s="6" t="n">
        <v>0.6459957832911301</v>
      </c>
      <c r="E36" s="6" t="n">
        <v>0.1179883852670013</v>
      </c>
      <c r="F36" s="6" t="n">
        <v>0.2153081679885606</v>
      </c>
      <c r="G36" s="6" t="n">
        <v>35</v>
      </c>
      <c r="H36" s="6" t="n">
        <v>75</v>
      </c>
      <c r="I36" s="6" t="inlineStr">
        <is>
          <t>***电子器材经营部</t>
        </is>
      </c>
      <c r="J36" s="6" t="inlineStr">
        <is>
          <t>C</t>
        </is>
      </c>
      <c r="K36" s="6" t="inlineStr">
        <is>
          <t>否</t>
        </is>
      </c>
      <c r="L36" s="6" t="b">
        <v>0</v>
      </c>
      <c r="M36" s="6" t="n">
        <v>100</v>
      </c>
      <c r="N36" s="6" t="n">
        <v>0.1225</v>
      </c>
      <c r="O36" s="6" t="n">
        <v>0.81480900767149</v>
      </c>
      <c r="P36" s="6" t="n">
        <v>0.009635401428192115</v>
      </c>
      <c r="Q36" s="6" t="inlineStr"/>
      <c r="R36" s="6" t="n">
        <v>0.18519099232851</v>
      </c>
      <c r="S36" s="6" t="n">
        <v>18.519099232851</v>
      </c>
      <c r="T36" s="6" t="n">
        <v>12.25</v>
      </c>
      <c r="U36" s="6" t="n">
        <v>2.125816197246377</v>
      </c>
      <c r="V36" s="6" t="n">
        <v>0.6992985736058911</v>
      </c>
      <c r="W36" s="6" t="n">
        <v>0.462977480821275</v>
      </c>
      <c r="X36" s="9">
        <f>M36*(1-O36)*((1-B36)*N36-B36*'模型说明与假设'!$B$7-'模型说明与假设'!$B$8)</f>
        <v/>
      </c>
      <c r="Y36" s="6" t="b">
        <v>0</v>
      </c>
    </row>
    <row r="37">
      <c r="A37" s="6" t="inlineStr">
        <is>
          <t>E59</t>
        </is>
      </c>
      <c r="B37" s="6" t="n">
        <v>0.06333024575615526</v>
      </c>
      <c r="C37" s="6" t="inlineStr">
        <is>
          <t>A</t>
        </is>
      </c>
      <c r="D37" s="6" t="n">
        <v>0.7188737166733119</v>
      </c>
      <c r="E37" s="6" t="n">
        <v>0.08710461284253862</v>
      </c>
      <c r="F37" s="6" t="n">
        <v>0.2227369708464437</v>
      </c>
      <c r="G37" s="6" t="n">
        <v>36</v>
      </c>
      <c r="H37" s="6" t="n">
        <v>29</v>
      </c>
      <c r="I37" s="6" t="inlineStr">
        <is>
          <t>***商贸有限公司</t>
        </is>
      </c>
      <c r="J37" s="6" t="inlineStr">
        <is>
          <t>A</t>
        </is>
      </c>
      <c r="K37" s="6" t="inlineStr">
        <is>
          <t>否</t>
        </is>
      </c>
      <c r="L37" s="6" t="b">
        <v>0</v>
      </c>
      <c r="M37" s="6" t="n">
        <v>100</v>
      </c>
      <c r="N37" s="6" t="n">
        <v>0.1225</v>
      </c>
      <c r="O37" s="6" t="n">
        <v>0.81480900767149</v>
      </c>
      <c r="P37" s="6" t="n">
        <v>0.00958250371407637</v>
      </c>
      <c r="Q37" s="6" t="inlineStr"/>
      <c r="R37" s="6" t="n">
        <v>0.18519099232851</v>
      </c>
      <c r="S37" s="6" t="n">
        <v>18.519099232851</v>
      </c>
      <c r="T37" s="6" t="n">
        <v>12.25</v>
      </c>
      <c r="U37" s="6" t="n">
        <v>2.12491931558836</v>
      </c>
      <c r="V37" s="6" t="n">
        <v>0.703691463359448</v>
      </c>
      <c r="W37" s="6" t="n">
        <v>0.462977480821275</v>
      </c>
      <c r="X37" s="9">
        <f>M37*(1-O37)*((1-B37)*N37-B37*'模型说明与假设'!$B$7-'模型说明与假设'!$B$8)</f>
        <v/>
      </c>
      <c r="Y37" s="6" t="b">
        <v>0</v>
      </c>
    </row>
    <row r="38">
      <c r="A38" s="6" t="inlineStr">
        <is>
          <t>E56</t>
        </is>
      </c>
      <c r="B38" s="6" t="n">
        <v>0.06616287292158238</v>
      </c>
      <c r="C38" s="6" t="inlineStr">
        <is>
          <t>A</t>
        </is>
      </c>
      <c r="D38" s="6" t="n">
        <v>0.7104796533787593</v>
      </c>
      <c r="E38" s="6" t="n">
        <v>0.08783646310427611</v>
      </c>
      <c r="F38" s="6" t="n">
        <v>0.2155496861917747</v>
      </c>
      <c r="G38" s="6" t="n">
        <v>37</v>
      </c>
      <c r="H38" s="6" t="n">
        <v>36</v>
      </c>
      <c r="I38" s="6" t="inlineStr">
        <is>
          <t>***家居材料***有限公司</t>
        </is>
      </c>
      <c r="J38" s="6" t="inlineStr">
        <is>
          <t>C</t>
        </is>
      </c>
      <c r="K38" s="6" t="inlineStr">
        <is>
          <t>否</t>
        </is>
      </c>
      <c r="L38" s="6" t="b">
        <v>0</v>
      </c>
      <c r="M38" s="6" t="n">
        <v>100</v>
      </c>
      <c r="N38" s="6" t="n">
        <v>0.1225</v>
      </c>
      <c r="O38" s="6" t="n">
        <v>0.81480900767149</v>
      </c>
      <c r="P38" s="6" t="n">
        <v>0.009203496805810474</v>
      </c>
      <c r="Q38" s="6" t="inlineStr"/>
      <c r="R38" s="6" t="n">
        <v>0.18519099232851</v>
      </c>
      <c r="S38" s="6" t="n">
        <v>18.519099232851</v>
      </c>
      <c r="T38" s="6" t="n">
        <v>12.25</v>
      </c>
      <c r="U38" s="6" t="n">
        <v>2.118493246901499</v>
      </c>
      <c r="V38" s="6" t="n">
        <v>0.7351660854991766</v>
      </c>
      <c r="W38" s="6" t="n">
        <v>0.462977480821275</v>
      </c>
      <c r="X38" s="9">
        <f>M38*(1-O38)*((1-B38)*N38-B38*'模型说明与假设'!$B$7-'模型说明与假设'!$B$8)</f>
        <v/>
      </c>
      <c r="Y38" s="6" t="b">
        <v>0</v>
      </c>
    </row>
    <row r="39">
      <c r="A39" s="6" t="inlineStr">
        <is>
          <t>E22</t>
        </is>
      </c>
      <c r="B39" s="6" t="n">
        <v>0.0687888882711373</v>
      </c>
      <c r="C39" s="6" t="inlineStr">
        <is>
          <t>A</t>
        </is>
      </c>
      <c r="D39" s="6" t="n">
        <v>0.7370854528298706</v>
      </c>
      <c r="E39" s="6" t="n">
        <v>0.08029691602437042</v>
      </c>
      <c r="F39" s="6" t="n">
        <v>0.2251137844813384</v>
      </c>
      <c r="G39" s="6" t="n">
        <v>38</v>
      </c>
      <c r="H39" s="6" t="n">
        <v>20</v>
      </c>
      <c r="I39" s="6" t="inlineStr">
        <is>
          <t>***物流有限公司</t>
        </is>
      </c>
      <c r="J39" s="6" t="inlineStr">
        <is>
          <t>A</t>
        </is>
      </c>
      <c r="K39" s="6" t="inlineStr">
        <is>
          <t>否</t>
        </is>
      </c>
      <c r="L39" s="6" t="b">
        <v>0</v>
      </c>
      <c r="M39" s="6" t="n">
        <v>100</v>
      </c>
      <c r="N39" s="6" t="n">
        <v>0.1225</v>
      </c>
      <c r="O39" s="6" t="n">
        <v>0.81480900767149</v>
      </c>
      <c r="P39" s="6" t="n">
        <v>0.008852134660152477</v>
      </c>
      <c r="Q39" s="6" t="inlineStr"/>
      <c r="R39" s="6" t="n">
        <v>0.18519099232851</v>
      </c>
      <c r="S39" s="6" t="n">
        <v>18.519099232851</v>
      </c>
      <c r="T39" s="6" t="n">
        <v>12.25</v>
      </c>
      <c r="U39" s="6" t="n">
        <v>2.112535895642937</v>
      </c>
      <c r="V39" s="6" t="n">
        <v>0.764344948806415</v>
      </c>
      <c r="W39" s="6" t="n">
        <v>0.462977480821275</v>
      </c>
      <c r="X39" s="9">
        <f>M39*(1-O39)*((1-B39)*N39-B39*'模型说明与假设'!$B$7-'模型说明与假设'!$B$8)</f>
        <v/>
      </c>
      <c r="Y39" s="6" t="b">
        <v>0</v>
      </c>
    </row>
    <row r="40">
      <c r="A40" s="6" t="inlineStr">
        <is>
          <t>E95</t>
        </is>
      </c>
      <c r="B40" s="6" t="n">
        <v>0.0702647410889778</v>
      </c>
      <c r="C40" s="6" t="inlineStr">
        <is>
          <t>A</t>
        </is>
      </c>
      <c r="D40" s="6" t="n">
        <v>0.6366521369833542</v>
      </c>
      <c r="E40" s="6" t="n">
        <v>0.1222630522558577</v>
      </c>
      <c r="F40" s="6" t="n">
        <v>0.2142273050584403</v>
      </c>
      <c r="G40" s="6" t="n">
        <v>39</v>
      </c>
      <c r="H40" s="6" t="n">
        <v>81</v>
      </c>
      <c r="I40" s="6" t="inlineStr">
        <is>
          <t>***兰花店</t>
        </is>
      </c>
      <c r="J40" s="6" t="inlineStr">
        <is>
          <t>B</t>
        </is>
      </c>
      <c r="K40" s="6" t="inlineStr">
        <is>
          <t>否</t>
        </is>
      </c>
      <c r="L40" s="6" t="b">
        <v>0</v>
      </c>
      <c r="M40" s="6" t="n">
        <v>100</v>
      </c>
      <c r="N40" s="6" t="n">
        <v>0.1225</v>
      </c>
      <c r="O40" s="6" t="n">
        <v>0.81480900767149</v>
      </c>
      <c r="P40" s="6" t="n">
        <v>0.008654664827068776</v>
      </c>
      <c r="Q40" s="6" t="inlineStr"/>
      <c r="R40" s="6" t="n">
        <v>0.18519099232851</v>
      </c>
      <c r="S40" s="6" t="n">
        <v>18.519099232851</v>
      </c>
      <c r="T40" s="6" t="n">
        <v>12.25</v>
      </c>
      <c r="U40" s="6" t="n">
        <v>2.10918779120657</v>
      </c>
      <c r="V40" s="6" t="n">
        <v>0.7807438276784177</v>
      </c>
      <c r="W40" s="6" t="n">
        <v>0.462977480821275</v>
      </c>
      <c r="X40" s="9">
        <f>M40*(1-O40)*((1-B40)*N40-B40*'模型说明与假设'!$B$7-'模型说明与假设'!$B$8)</f>
        <v/>
      </c>
      <c r="Y40" s="6" t="b">
        <v>0</v>
      </c>
    </row>
    <row r="41">
      <c r="A41" s="6" t="inlineStr">
        <is>
          <t>E64</t>
        </is>
      </c>
      <c r="B41" s="6" t="n">
        <v>0.07084655025175086</v>
      </c>
      <c r="C41" s="6" t="inlineStr">
        <is>
          <t>A</t>
        </is>
      </c>
      <c r="D41" s="6" t="n">
        <v>0.6890863312391333</v>
      </c>
      <c r="E41" s="6" t="n">
        <v>0.09947394314054256</v>
      </c>
      <c r="F41" s="6" t="n">
        <v>0.2204667771789975</v>
      </c>
      <c r="G41" s="6" t="n">
        <v>40</v>
      </c>
      <c r="H41" s="6" t="n">
        <v>45</v>
      </c>
      <c r="I41" s="6" t="inlineStr">
        <is>
          <t>***图书有限责任公司</t>
        </is>
      </c>
      <c r="J41" s="6" t="inlineStr">
        <is>
          <t>A</t>
        </is>
      </c>
      <c r="K41" s="6" t="inlineStr">
        <is>
          <t>否</t>
        </is>
      </c>
      <c r="L41" s="6" t="b">
        <v>0</v>
      </c>
      <c r="M41" s="6" t="n">
        <v>100</v>
      </c>
      <c r="N41" s="6" t="n">
        <v>0.1225</v>
      </c>
      <c r="O41" s="6" t="n">
        <v>0.81480900767149</v>
      </c>
      <c r="P41" s="6" t="n">
        <v>0.008576818474864448</v>
      </c>
      <c r="Q41" s="6" t="inlineStr"/>
      <c r="R41" s="6" t="n">
        <v>0.18519099232851</v>
      </c>
      <c r="S41" s="6" t="n">
        <v>18.519099232851</v>
      </c>
      <c r="T41" s="6" t="n">
        <v>12.25</v>
      </c>
      <c r="U41" s="6" t="n">
        <v>2.107867904958123</v>
      </c>
      <c r="V41" s="6" t="n">
        <v>0.7872085766504034</v>
      </c>
      <c r="W41" s="6" t="n">
        <v>0.462977480821275</v>
      </c>
      <c r="X41" s="9">
        <f>M41*(1-O41)*((1-B41)*N41-B41*'模型说明与假设'!$B$7-'模型说明与假设'!$B$8)</f>
        <v/>
      </c>
      <c r="Y41" s="6" t="b">
        <v>0</v>
      </c>
    </row>
    <row r="42">
      <c r="A42" s="6" t="inlineStr">
        <is>
          <t>E15</t>
        </is>
      </c>
      <c r="B42" s="6" t="n">
        <v>0.07222019749849644</v>
      </c>
      <c r="C42" s="6" t="inlineStr">
        <is>
          <t>A</t>
        </is>
      </c>
      <c r="D42" s="6" t="n">
        <v>0.6833699805325213</v>
      </c>
      <c r="E42" s="6" t="n">
        <v>0.1052909333718196</v>
      </c>
      <c r="F42" s="6" t="n">
        <v>0.2272452347050488</v>
      </c>
      <c r="G42" s="6" t="n">
        <v>41</v>
      </c>
      <c r="H42" s="6" t="n">
        <v>49</v>
      </c>
      <c r="I42" s="6" t="inlineStr">
        <is>
          <t>***劳务有限公司</t>
        </is>
      </c>
      <c r="J42" s="6" t="inlineStr">
        <is>
          <t>A</t>
        </is>
      </c>
      <c r="K42" s="6" t="inlineStr">
        <is>
          <t>否</t>
        </is>
      </c>
      <c r="L42" s="6" t="b">
        <v>0</v>
      </c>
      <c r="M42" s="6" t="n">
        <v>100</v>
      </c>
      <c r="N42" s="6" t="n">
        <v>0.1225</v>
      </c>
      <c r="O42" s="6" t="n">
        <v>0.81480900767149</v>
      </c>
      <c r="P42" s="6" t="n">
        <v>0.008393023797474034</v>
      </c>
      <c r="Q42" s="6" t="inlineStr"/>
      <c r="R42" s="6" t="n">
        <v>0.18519099232851</v>
      </c>
      <c r="S42" s="6" t="n">
        <v>18.519099232851</v>
      </c>
      <c r="T42" s="6" t="n">
        <v>12.25</v>
      </c>
      <c r="U42" s="6" t="n">
        <v>2.10475166302313</v>
      </c>
      <c r="V42" s="6" t="n">
        <v>0.8024718024544517</v>
      </c>
      <c r="W42" s="6" t="n">
        <v>0.462977480821275</v>
      </c>
      <c r="X42" s="9">
        <f>M42*(1-O42)*((1-B42)*N42-B42*'模型说明与假设'!$B$7-'模型说明与假设'!$B$8)</f>
        <v/>
      </c>
      <c r="Y42" s="6" t="b">
        <v>0</v>
      </c>
    </row>
    <row r="43">
      <c r="A43" s="6" t="inlineStr">
        <is>
          <t>E81</t>
        </is>
      </c>
      <c r="B43" s="6" t="n">
        <v>0.07222215542695952</v>
      </c>
      <c r="C43" s="6" t="inlineStr">
        <is>
          <t>A</t>
        </is>
      </c>
      <c r="D43" s="6" t="n">
        <v>0.6788571038052195</v>
      </c>
      <c r="E43" s="6" t="n">
        <v>0.1009592093189898</v>
      </c>
      <c r="F43" s="6" t="n">
        <v>0.2134155145664038</v>
      </c>
      <c r="G43" s="6" t="n">
        <v>42</v>
      </c>
      <c r="H43" s="6" t="n">
        <v>56</v>
      </c>
      <c r="I43" s="6" t="inlineStr">
        <is>
          <t>***机械设备有限公司</t>
        </is>
      </c>
      <c r="J43" s="6" t="inlineStr">
        <is>
          <t>A</t>
        </is>
      </c>
      <c r="K43" s="6" t="inlineStr">
        <is>
          <t>否</t>
        </is>
      </c>
      <c r="L43" s="6" t="b">
        <v>0</v>
      </c>
      <c r="M43" s="6" t="n">
        <v>100</v>
      </c>
      <c r="N43" s="6" t="n">
        <v>0.1225</v>
      </c>
      <c r="O43" s="6" t="n">
        <v>0.81480900767149</v>
      </c>
      <c r="P43" s="6" t="n">
        <v>0.008392761825682455</v>
      </c>
      <c r="Q43" s="6" t="inlineStr"/>
      <c r="R43" s="6" t="n">
        <v>0.18519099232851</v>
      </c>
      <c r="S43" s="6" t="n">
        <v>18.519099232851</v>
      </c>
      <c r="T43" s="6" t="n">
        <v>12.25</v>
      </c>
      <c r="U43" s="6" t="n">
        <v>2.104747221286872</v>
      </c>
      <c r="V43" s="6" t="n">
        <v>0.8024935578973509</v>
      </c>
      <c r="W43" s="6" t="n">
        <v>0.462977480821275</v>
      </c>
      <c r="X43" s="9">
        <f>M43*(1-O43)*((1-B43)*N43-B43*'模型说明与假设'!$B$7-'模型说明与假设'!$B$8)</f>
        <v/>
      </c>
      <c r="Y43" s="6" t="b">
        <v>0</v>
      </c>
    </row>
    <row r="44">
      <c r="A44" s="6" t="inlineStr">
        <is>
          <t>E11</t>
        </is>
      </c>
      <c r="B44" s="6" t="n">
        <v>0.07281488017687995</v>
      </c>
      <c r="C44" s="6" t="inlineStr">
        <is>
          <t>A</t>
        </is>
      </c>
      <c r="D44" s="6" t="n">
        <v>0.7158138259866738</v>
      </c>
      <c r="E44" s="6" t="n">
        <v>0.08836391936268623</v>
      </c>
      <c r="F44" s="6" t="n">
        <v>0.2225728095949394</v>
      </c>
      <c r="G44" s="6" t="n">
        <v>43</v>
      </c>
      <c r="H44" s="6" t="n">
        <v>31</v>
      </c>
      <c r="I44" s="6" t="inlineStr">
        <is>
          <t>***建设工程有限公司</t>
        </is>
      </c>
      <c r="J44" s="6" t="inlineStr">
        <is>
          <t>C</t>
        </is>
      </c>
      <c r="K44" s="6" t="inlineStr">
        <is>
          <t>否</t>
        </is>
      </c>
      <c r="L44" s="6" t="b">
        <v>0</v>
      </c>
      <c r="M44" s="6" t="n">
        <v>100</v>
      </c>
      <c r="N44" s="6" t="n">
        <v>0.1225</v>
      </c>
      <c r="O44" s="6" t="n">
        <v>0.81480900767149</v>
      </c>
      <c r="P44" s="6" t="n">
        <v>0.008313454962547805</v>
      </c>
      <c r="Q44" s="6" t="inlineStr"/>
      <c r="R44" s="6" t="n">
        <v>0.18519099232851</v>
      </c>
      <c r="S44" s="6" t="n">
        <v>18.519099232851</v>
      </c>
      <c r="T44" s="6" t="n">
        <v>12.25</v>
      </c>
      <c r="U44" s="6" t="n">
        <v>2.103402572050332</v>
      </c>
      <c r="V44" s="6" t="n">
        <v>0.8090795949742769</v>
      </c>
      <c r="W44" s="6" t="n">
        <v>0.462977480821275</v>
      </c>
      <c r="X44" s="9">
        <f>M44*(1-O44)*((1-B44)*N44-B44*'模型说明与假设'!$B$7-'模型说明与假设'!$B$8)</f>
        <v/>
      </c>
      <c r="Y44" s="6" t="b">
        <v>0</v>
      </c>
    </row>
    <row r="45">
      <c r="A45" s="6" t="inlineStr">
        <is>
          <t>E27</t>
        </is>
      </c>
      <c r="B45" s="6" t="n">
        <v>0.07440686329123165</v>
      </c>
      <c r="C45" s="6" t="inlineStr">
        <is>
          <t>A</t>
        </is>
      </c>
      <c r="D45" s="6" t="n">
        <v>0.6066946418497595</v>
      </c>
      <c r="E45" s="6" t="n">
        <v>0.1292145797177588</v>
      </c>
      <c r="F45" s="6" t="n">
        <v>0.1993204301419328</v>
      </c>
      <c r="G45" s="6" t="n">
        <v>44</v>
      </c>
      <c r="H45" s="6" t="n">
        <v>87</v>
      </c>
      <c r="I45" s="6" t="inlineStr">
        <is>
          <t>***农业开发有限公司</t>
        </is>
      </c>
      <c r="J45" s="6" t="inlineStr">
        <is>
          <t>A</t>
        </is>
      </c>
      <c r="K45" s="6" t="inlineStr">
        <is>
          <t>否</t>
        </is>
      </c>
      <c r="L45" s="6" t="b">
        <v>0</v>
      </c>
      <c r="M45" s="6" t="n">
        <v>100</v>
      </c>
      <c r="N45" s="6" t="n">
        <v>0.1225</v>
      </c>
      <c r="O45" s="6" t="n">
        <v>0.81480900767149</v>
      </c>
      <c r="P45" s="6" t="n">
        <v>0.008100446838659757</v>
      </c>
      <c r="Q45" s="6" t="inlineStr"/>
      <c r="R45" s="6" t="n">
        <v>0.18519099232851</v>
      </c>
      <c r="S45" s="6" t="n">
        <v>18.519099232851</v>
      </c>
      <c r="T45" s="6" t="n">
        <v>12.25</v>
      </c>
      <c r="U45" s="6" t="n">
        <v>2.099791015624549</v>
      </c>
      <c r="V45" s="6" t="n">
        <v>0.8267688509372983</v>
      </c>
      <c r="W45" s="6" t="n">
        <v>0.462977480821275</v>
      </c>
      <c r="X45" s="9">
        <f>M45*(1-O45)*((1-B45)*N45-B45*'模型说明与假设'!$B$7-'模型说明与假设'!$B$8)</f>
        <v/>
      </c>
      <c r="Y45" s="6" t="b">
        <v>0</v>
      </c>
    </row>
    <row r="46">
      <c r="A46" s="6" t="inlineStr">
        <is>
          <t>E34</t>
        </is>
      </c>
      <c r="B46" s="6" t="n">
        <v>0.07528910529678959</v>
      </c>
      <c r="C46" s="6" t="inlineStr">
        <is>
          <t>A</t>
        </is>
      </c>
      <c r="D46" s="6" t="n">
        <v>0.7059420486672956</v>
      </c>
      <c r="E46" s="6" t="n">
        <v>0.09043592435698207</v>
      </c>
      <c r="F46" s="6" t="n">
        <v>0.2171086393833149</v>
      </c>
      <c r="G46" s="6" t="n">
        <v>45</v>
      </c>
      <c r="H46" s="6" t="n">
        <v>38</v>
      </c>
      <c r="I46" s="6" t="inlineStr">
        <is>
          <t>***建设工程有限公司</t>
        </is>
      </c>
      <c r="J46" s="6" t="inlineStr">
        <is>
          <t>B</t>
        </is>
      </c>
      <c r="K46" s="6" t="inlineStr">
        <is>
          <t>否</t>
        </is>
      </c>
      <c r="L46" s="6" t="b">
        <v>0</v>
      </c>
      <c r="M46" s="6" t="n">
        <v>100</v>
      </c>
      <c r="N46" s="6" t="n">
        <v>0.1225</v>
      </c>
      <c r="O46" s="6" t="n">
        <v>0.81480900767149</v>
      </c>
      <c r="P46" s="6" t="n">
        <v>0.007982402424290668</v>
      </c>
      <c r="Q46" s="6" t="inlineStr"/>
      <c r="R46" s="6" t="n">
        <v>0.18519099232851</v>
      </c>
      <c r="S46" s="6" t="n">
        <v>18.519099232851</v>
      </c>
      <c r="T46" s="6" t="n">
        <v>12.25</v>
      </c>
      <c r="U46" s="6" t="n">
        <v>2.09778957053663</v>
      </c>
      <c r="V46" s="6" t="n">
        <v>0.8365718472862884</v>
      </c>
      <c r="W46" s="6" t="n">
        <v>0.462977480821275</v>
      </c>
      <c r="X46" s="9">
        <f>M46*(1-O46)*((1-B46)*N46-B46*'模型说明与假设'!$B$7-'模型说明与假设'!$B$8)</f>
        <v/>
      </c>
      <c r="Y46" s="6" t="b">
        <v>0</v>
      </c>
    </row>
    <row r="47">
      <c r="A47" s="6" t="inlineStr">
        <is>
          <t>E12</t>
        </is>
      </c>
      <c r="B47" s="6" t="n">
        <v>0.07886932050946382</v>
      </c>
      <c r="C47" s="6" t="inlineStr">
        <is>
          <t>A</t>
        </is>
      </c>
      <c r="D47" s="6" t="n">
        <v>0.7135508061923891</v>
      </c>
      <c r="E47" s="6" t="n">
        <v>0.09155385741395081</v>
      </c>
      <c r="F47" s="6" t="n">
        <v>0.2280625331821475</v>
      </c>
      <c r="G47" s="6" t="n">
        <v>46</v>
      </c>
      <c r="H47" s="6" t="n">
        <v>32</v>
      </c>
      <c r="I47" s="6" t="inlineStr">
        <is>
          <t>***建筑劳务有限公司</t>
        </is>
      </c>
      <c r="J47" s="6" t="inlineStr">
        <is>
          <t>B</t>
        </is>
      </c>
      <c r="K47" s="6" t="inlineStr">
        <is>
          <t>否</t>
        </is>
      </c>
      <c r="L47" s="6" t="b">
        <v>0</v>
      </c>
      <c r="M47" s="6" t="n">
        <v>100</v>
      </c>
      <c r="N47" s="6" t="n">
        <v>0.1225</v>
      </c>
      <c r="O47" s="6" t="n">
        <v>0.81480900767149</v>
      </c>
      <c r="P47" s="6" t="n">
        <v>0.007503367867521671</v>
      </c>
      <c r="Q47" s="6" t="inlineStr"/>
      <c r="R47" s="6" t="n">
        <v>0.18519099232851</v>
      </c>
      <c r="S47" s="6" t="n">
        <v>18.519099232851</v>
      </c>
      <c r="T47" s="6" t="n">
        <v>12.25</v>
      </c>
      <c r="U47" s="6" t="n">
        <v>2.089667531338816</v>
      </c>
      <c r="V47" s="6" t="n">
        <v>0.8763532637653746</v>
      </c>
      <c r="W47" s="6" t="n">
        <v>0.462977480821275</v>
      </c>
      <c r="X47" s="9">
        <f>M47*(1-O47)*((1-B47)*N47-B47*'模型说明与假设'!$B$7-'模型说明与假设'!$B$8)</f>
        <v/>
      </c>
      <c r="Y47" s="6" t="b">
        <v>0</v>
      </c>
    </row>
    <row r="48">
      <c r="A48" s="6" t="inlineStr">
        <is>
          <t>E33</t>
        </is>
      </c>
      <c r="B48" s="6" t="n">
        <v>0.08022553988035391</v>
      </c>
      <c r="C48" s="6" t="inlineStr">
        <is>
          <t>A</t>
        </is>
      </c>
      <c r="D48" s="6" t="n">
        <v>0.6742025039668413</v>
      </c>
      <c r="E48" s="6" t="n">
        <v>0.1022949675402657</v>
      </c>
      <c r="F48" s="6" t="n">
        <v>0.2116883158974145</v>
      </c>
      <c r="G48" s="6" t="n">
        <v>47</v>
      </c>
      <c r="H48" s="6" t="n">
        <v>58</v>
      </c>
      <c r="I48" s="6" t="inlineStr">
        <is>
          <t>***园林有限责任公司</t>
        </is>
      </c>
      <c r="J48" s="6" t="inlineStr">
        <is>
          <t>B</t>
        </is>
      </c>
      <c r="K48" s="6" t="inlineStr">
        <is>
          <t>否</t>
        </is>
      </c>
      <c r="L48" s="6" t="b">
        <v>0</v>
      </c>
      <c r="M48" s="6" t="n">
        <v>100</v>
      </c>
      <c r="N48" s="6" t="n">
        <v>0.1225</v>
      </c>
      <c r="O48" s="6" t="n">
        <v>0.81480900767149</v>
      </c>
      <c r="P48" s="6" t="n">
        <v>0.007321905048494489</v>
      </c>
      <c r="Q48" s="6" t="inlineStr"/>
      <c r="R48" s="6" t="n">
        <v>0.18519099232851</v>
      </c>
      <c r="S48" s="6" t="n">
        <v>18.519099232851</v>
      </c>
      <c r="T48" s="6" t="n">
        <v>12.25</v>
      </c>
      <c r="U48" s="6" t="n">
        <v>2.086590826102715</v>
      </c>
      <c r="V48" s="6" t="n">
        <v>0.8914228404319916</v>
      </c>
      <c r="W48" s="6" t="n">
        <v>0.462977480821275</v>
      </c>
      <c r="X48" s="9">
        <f>M48*(1-O48)*((1-B48)*N48-B48*'模型说明与假设'!$B$7-'模型说明与假设'!$B$8)</f>
        <v/>
      </c>
      <c r="Y48" s="6" t="b">
        <v>0</v>
      </c>
    </row>
    <row r="49">
      <c r="A49" s="6" t="inlineStr">
        <is>
          <t>E37</t>
        </is>
      </c>
      <c r="B49" s="6" t="n">
        <v>0.08145869924312618</v>
      </c>
      <c r="C49" s="6" t="inlineStr">
        <is>
          <t>A</t>
        </is>
      </c>
      <c r="D49" s="6" t="n">
        <v>0.6015567839505929</v>
      </c>
      <c r="E49" s="6" t="n">
        <v>0.1284932278178624</v>
      </c>
      <c r="F49" s="6" t="n">
        <v>0.193994952786345</v>
      </c>
      <c r="G49" s="6" t="n">
        <v>48</v>
      </c>
      <c r="H49" s="6" t="n">
        <v>90</v>
      </c>
      <c r="I49" s="6" t="inlineStr">
        <is>
          <t>***木业有限公司</t>
        </is>
      </c>
      <c r="J49" s="6" t="inlineStr">
        <is>
          <t>B</t>
        </is>
      </c>
      <c r="K49" s="6" t="inlineStr">
        <is>
          <t>否</t>
        </is>
      </c>
      <c r="L49" s="6" t="b">
        <v>0</v>
      </c>
      <c r="M49" s="6" t="n">
        <v>100</v>
      </c>
      <c r="N49" s="6" t="n">
        <v>0.1225</v>
      </c>
      <c r="O49" s="6" t="n">
        <v>0.81480900767149</v>
      </c>
      <c r="P49" s="6" t="n">
        <v>0.007156907719093751</v>
      </c>
      <c r="Q49" s="6" t="inlineStr"/>
      <c r="R49" s="6" t="n">
        <v>0.18519099232851</v>
      </c>
      <c r="S49" s="6" t="n">
        <v>18.519099232851</v>
      </c>
      <c r="T49" s="6" t="n">
        <v>12.25</v>
      </c>
      <c r="U49" s="6" t="n">
        <v>2.083793293528101</v>
      </c>
      <c r="V49" s="6" t="n">
        <v>0.9051250407974508</v>
      </c>
      <c r="W49" s="6" t="n">
        <v>0.462977480821275</v>
      </c>
      <c r="X49" s="9">
        <f>M49*(1-O49)*((1-B49)*N49-B49*'模型说明与假设'!$B$7-'模型说明与假设'!$B$8)</f>
        <v/>
      </c>
      <c r="Y49" s="6" t="b">
        <v>0</v>
      </c>
    </row>
    <row r="50">
      <c r="A50" s="6" t="inlineStr">
        <is>
          <t>E74</t>
        </is>
      </c>
      <c r="B50" s="6" t="n">
        <v>0.08251810521811949</v>
      </c>
      <c r="C50" s="6" t="inlineStr">
        <is>
          <t>A</t>
        </is>
      </c>
      <c r="D50" s="6" t="n">
        <v>0.6605452906096975</v>
      </c>
      <c r="E50" s="6" t="n">
        <v>0.1118240830790689</v>
      </c>
      <c r="F50" s="6" t="n">
        <v>0.2175986056793728</v>
      </c>
      <c r="G50" s="6" t="n">
        <v>49</v>
      </c>
      <c r="H50" s="6" t="n">
        <v>67</v>
      </c>
      <c r="I50" s="6" t="inlineStr">
        <is>
          <t>***蔬菜专业合作社</t>
        </is>
      </c>
      <c r="J50" s="6" t="inlineStr">
        <is>
          <t>B</t>
        </is>
      </c>
      <c r="K50" s="6" t="inlineStr">
        <is>
          <t>否</t>
        </is>
      </c>
      <c r="L50" s="6" t="b">
        <v>0</v>
      </c>
      <c r="M50" s="6" t="n">
        <v>100</v>
      </c>
      <c r="N50" s="6" t="n">
        <v>0.1225</v>
      </c>
      <c r="O50" s="6" t="n">
        <v>0.81480900767149</v>
      </c>
      <c r="P50" s="6" t="n">
        <v>0.007015158678457092</v>
      </c>
      <c r="Q50" s="6" t="inlineStr"/>
      <c r="R50" s="6" t="n">
        <v>0.18519099232851</v>
      </c>
      <c r="S50" s="6" t="n">
        <v>18.519099232851</v>
      </c>
      <c r="T50" s="6" t="n">
        <v>12.25</v>
      </c>
      <c r="U50" s="6" t="n">
        <v>2.081389936091701</v>
      </c>
      <c r="V50" s="6" t="n">
        <v>0.9168965874247167</v>
      </c>
      <c r="W50" s="6" t="n">
        <v>0.462977480821275</v>
      </c>
      <c r="X50" s="9">
        <f>M50*(1-O50)*((1-B50)*N50-B50*'模型说明与假设'!$B$7-'模型说明与假设'!$B$8)</f>
        <v/>
      </c>
      <c r="Y50" s="6" t="b">
        <v>0</v>
      </c>
    </row>
    <row r="51">
      <c r="A51" s="6" t="inlineStr">
        <is>
          <t>E35</t>
        </is>
      </c>
      <c r="B51" s="6" t="n">
        <v>0.08385942941932771</v>
      </c>
      <c r="C51" s="6" t="inlineStr">
        <is>
          <t>A</t>
        </is>
      </c>
      <c r="D51" s="6" t="n">
        <v>0.708205204983031</v>
      </c>
      <c r="E51" s="6" t="n">
        <v>0.08931140028773156</v>
      </c>
      <c r="F51" s="6" t="n">
        <v>0.2167646566293829</v>
      </c>
      <c r="G51" s="6" t="n">
        <v>50</v>
      </c>
      <c r="H51" s="6" t="n">
        <v>37</v>
      </c>
      <c r="I51" s="6" t="inlineStr">
        <is>
          <t>***商贸有限公司</t>
        </is>
      </c>
      <c r="J51" s="6" t="inlineStr">
        <is>
          <t>B</t>
        </is>
      </c>
      <c r="K51" s="6" t="inlineStr">
        <is>
          <t>否</t>
        </is>
      </c>
      <c r="L51" s="6" t="b">
        <v>0</v>
      </c>
      <c r="M51" s="6" t="n">
        <v>100</v>
      </c>
      <c r="N51" s="6" t="n">
        <v>0.1225</v>
      </c>
      <c r="O51" s="6" t="n">
        <v>0.81480900767149</v>
      </c>
      <c r="P51" s="6" t="n">
        <v>0.006835688840461135</v>
      </c>
      <c r="Q51" s="6" t="inlineStr"/>
      <c r="R51" s="6" t="n">
        <v>0.18519099232851</v>
      </c>
      <c r="S51" s="6" t="n">
        <v>18.519099232851</v>
      </c>
      <c r="T51" s="6" t="n">
        <v>12.25</v>
      </c>
      <c r="U51" s="6" t="n">
        <v>2.078347021883465</v>
      </c>
      <c r="V51" s="6" t="n">
        <v>0.9318006570160765</v>
      </c>
      <c r="W51" s="6" t="n">
        <v>0.462977480821275</v>
      </c>
      <c r="X51" s="9">
        <f>M51*(1-O51)*((1-B51)*N51-B51*'模型说明与假设'!$B$7-'模型说明与假设'!$B$8)</f>
        <v/>
      </c>
      <c r="Y51" s="6" t="b">
        <v>0</v>
      </c>
    </row>
    <row r="52">
      <c r="A52" s="6" t="inlineStr">
        <is>
          <t>E49</t>
        </is>
      </c>
      <c r="B52" s="6" t="n">
        <v>0.08913766091665698</v>
      </c>
      <c r="C52" s="6" t="inlineStr">
        <is>
          <t>A</t>
        </is>
      </c>
      <c r="D52" s="6" t="n">
        <v>0.7361458503091196</v>
      </c>
      <c r="E52" s="6" t="n">
        <v>0.07944749610117018</v>
      </c>
      <c r="F52" s="6" t="n">
        <v>0.2216563379459627</v>
      </c>
      <c r="G52" s="6" t="n">
        <v>51</v>
      </c>
      <c r="H52" s="6" t="n">
        <v>22</v>
      </c>
      <c r="I52" s="6" t="inlineStr">
        <is>
          <t>***地球环保科技有限公司</t>
        </is>
      </c>
      <c r="J52" s="6" t="inlineStr">
        <is>
          <t>C</t>
        </is>
      </c>
      <c r="K52" s="6" t="inlineStr">
        <is>
          <t>否</t>
        </is>
      </c>
      <c r="L52" s="6" t="b">
        <v>0</v>
      </c>
      <c r="M52" s="6" t="n">
        <v>100</v>
      </c>
      <c r="N52" s="6" t="n">
        <v>0.1425</v>
      </c>
      <c r="O52" s="6" t="n">
        <v>0.880180313431412</v>
      </c>
      <c r="P52" s="6" t="n">
        <v>0.006148581576884583</v>
      </c>
      <c r="Q52" s="6" t="inlineStr"/>
      <c r="R52" s="6" t="n">
        <v>0.119819686568588</v>
      </c>
      <c r="S52" s="6" t="n">
        <v>11.9819686568588</v>
      </c>
      <c r="T52" s="6" t="n">
        <v>14.25</v>
      </c>
      <c r="U52" s="6" t="n">
        <v>1.555234169659383</v>
      </c>
      <c r="V52" s="6" t="n">
        <v>0.6408267955494549</v>
      </c>
      <c r="W52" s="6" t="n">
        <v>0.29954921642147</v>
      </c>
      <c r="X52" s="9">
        <f>M52*(1-O52)*((1-B52)*N52-B52*'模型说明与假设'!$B$7-'模型说明与假设'!$B$8)</f>
        <v/>
      </c>
      <c r="Y52" s="6" t="b">
        <v>0</v>
      </c>
    </row>
    <row r="53">
      <c r="A53" s="6" t="inlineStr">
        <is>
          <t>E91</t>
        </is>
      </c>
      <c r="B53" s="6" t="n">
        <v>0.090497522300232</v>
      </c>
      <c r="C53" s="6" t="inlineStr">
        <is>
          <t>A</t>
        </is>
      </c>
      <c r="D53" s="6" t="n">
        <v>0.6642294472504021</v>
      </c>
      <c r="E53" s="6" t="n">
        <v>0.1078311584468862</v>
      </c>
      <c r="F53" s="6" t="n">
        <v>0.2133142116990828</v>
      </c>
      <c r="G53" s="6" t="n">
        <v>52</v>
      </c>
      <c r="H53" s="6" t="n">
        <v>64</v>
      </c>
      <c r="I53" s="6" t="inlineStr">
        <is>
          <t>***科技实业有限公司</t>
        </is>
      </c>
      <c r="J53" s="6" t="inlineStr">
        <is>
          <t>A</t>
        </is>
      </c>
      <c r="K53" s="6" t="inlineStr">
        <is>
          <t>否</t>
        </is>
      </c>
      <c r="L53" s="6" t="b">
        <v>0</v>
      </c>
      <c r="M53" s="6" t="n">
        <v>100</v>
      </c>
      <c r="N53" s="6" t="n">
        <v>0.1425</v>
      </c>
      <c r="O53" s="6" t="n">
        <v>0.880180313431412</v>
      </c>
      <c r="P53" s="6" t="n">
        <v>0.006027599989552745</v>
      </c>
      <c r="Q53" s="6" t="inlineStr"/>
      <c r="R53" s="6" t="n">
        <v>0.119819686568588</v>
      </c>
      <c r="S53" s="6" t="n">
        <v>11.9819686568588</v>
      </c>
      <c r="T53" s="6" t="n">
        <v>14.25</v>
      </c>
      <c r="U53" s="6" t="n">
        <v>1.5529123008116</v>
      </c>
      <c r="V53" s="6" t="n">
        <v>0.650603085434856</v>
      </c>
      <c r="W53" s="6" t="n">
        <v>0.29954921642147</v>
      </c>
      <c r="X53" s="9">
        <f>M53*(1-O53)*((1-B53)*N53-B53*'模型说明与假设'!$B$7-'模型说明与假设'!$B$8)</f>
        <v/>
      </c>
      <c r="Y53" s="6" t="b">
        <v>0</v>
      </c>
    </row>
    <row r="54">
      <c r="A54" s="6" t="inlineStr">
        <is>
          <t>E42</t>
        </is>
      </c>
      <c r="B54" s="6" t="n">
        <v>0.09350481271063961</v>
      </c>
      <c r="C54" s="6" t="inlineStr">
        <is>
          <t>A</t>
        </is>
      </c>
      <c r="D54" s="6" t="n">
        <v>0.6804379760373206</v>
      </c>
      <c r="E54" s="6" t="n">
        <v>0.1013607006157455</v>
      </c>
      <c r="F54" s="6" t="n">
        <v>0.2158256138243679</v>
      </c>
      <c r="G54" s="6" t="n">
        <v>53</v>
      </c>
      <c r="H54" s="6" t="n">
        <v>52</v>
      </c>
      <c r="I54" s="6" t="inlineStr">
        <is>
          <t>***园艺场</t>
        </is>
      </c>
      <c r="J54" s="6" t="inlineStr">
        <is>
          <t>A</t>
        </is>
      </c>
      <c r="K54" s="6" t="inlineStr">
        <is>
          <t>否</t>
        </is>
      </c>
      <c r="L54" s="6" t="b">
        <v>0</v>
      </c>
      <c r="M54" s="6" t="n">
        <v>100</v>
      </c>
      <c r="N54" s="6" t="n">
        <v>0.1425</v>
      </c>
      <c r="O54" s="6" t="n">
        <v>0.880180313431412</v>
      </c>
      <c r="P54" s="6" t="n">
        <v>0.005760053038213893</v>
      </c>
      <c r="Q54" s="6" t="inlineStr"/>
      <c r="R54" s="6" t="n">
        <v>0.119819686568588</v>
      </c>
      <c r="S54" s="6" t="n">
        <v>11.9819686568588</v>
      </c>
      <c r="T54" s="6" t="n">
        <v>14.25</v>
      </c>
      <c r="U54" s="6" t="n">
        <v>1.547777561341461</v>
      </c>
      <c r="V54" s="6" t="n">
        <v>0.6722230410986016</v>
      </c>
      <c r="W54" s="6" t="n">
        <v>0.29954921642147</v>
      </c>
      <c r="X54" s="9">
        <f>M54*(1-O54)*((1-B54)*N54-B54*'模型说明与假设'!$B$7-'模型说明与假设'!$B$8)</f>
        <v/>
      </c>
      <c r="Y54" s="6" t="b">
        <v>0</v>
      </c>
    </row>
    <row r="55">
      <c r="A55" s="6" t="inlineStr">
        <is>
          <t>E44</t>
        </is>
      </c>
      <c r="B55" s="6" t="n">
        <v>0.09512588067931764</v>
      </c>
      <c r="C55" s="6" t="inlineStr">
        <is>
          <t>A</t>
        </is>
      </c>
      <c r="D55" s="6" t="n">
        <v>0.7112511617409831</v>
      </c>
      <c r="E55" s="6" t="n">
        <v>0.08831159066650117</v>
      </c>
      <c r="F55" s="6" t="n">
        <v>0.217530646479689</v>
      </c>
      <c r="G55" s="6" t="n">
        <v>54</v>
      </c>
      <c r="H55" s="6" t="n">
        <v>35</v>
      </c>
      <c r="I55" s="6" t="inlineStr">
        <is>
          <t>***商贸有限公司</t>
        </is>
      </c>
      <c r="J55" s="6" t="inlineStr">
        <is>
          <t>C</t>
        </is>
      </c>
      <c r="K55" s="6" t="inlineStr">
        <is>
          <t>否</t>
        </is>
      </c>
      <c r="L55" s="6" t="b">
        <v>0</v>
      </c>
      <c r="M55" s="6" t="n">
        <v>100</v>
      </c>
      <c r="N55" s="6" t="n">
        <v>0.1425</v>
      </c>
      <c r="O55" s="6" t="n">
        <v>0.880180313431412</v>
      </c>
      <c r="P55" s="6" t="n">
        <v>0.005615832915198209</v>
      </c>
      <c r="Q55" s="6" t="inlineStr"/>
      <c r="R55" s="6" t="n">
        <v>0.119819686568588</v>
      </c>
      <c r="S55" s="6" t="n">
        <v>11.9819686568588</v>
      </c>
      <c r="T55" s="6" t="n">
        <v>14.25</v>
      </c>
      <c r="U55" s="6" t="n">
        <v>1.545009700394695</v>
      </c>
      <c r="V55" s="6" t="n">
        <v>0.6838771924534043</v>
      </c>
      <c r="W55" s="6" t="n">
        <v>0.29954921642147</v>
      </c>
      <c r="X55" s="9">
        <f>M55*(1-O55)*((1-B55)*N55-B55*'模型说明与假设'!$B$7-'模型说明与假设'!$B$8)</f>
        <v/>
      </c>
      <c r="Y55" s="6" t="b">
        <v>0</v>
      </c>
    </row>
    <row r="56">
      <c r="A56" s="6" t="inlineStr">
        <is>
          <t>E32</t>
        </is>
      </c>
      <c r="B56" s="6" t="n">
        <v>0.09761698402790975</v>
      </c>
      <c r="C56" s="6" t="inlineStr">
        <is>
          <t>A</t>
        </is>
      </c>
      <c r="D56" s="6" t="n">
        <v>0.7178528813933605</v>
      </c>
      <c r="E56" s="6" t="n">
        <v>0.08946503990523746</v>
      </c>
      <c r="F56" s="6" t="n">
        <v>0.2276214515218352</v>
      </c>
      <c r="G56" s="6" t="n">
        <v>55</v>
      </c>
      <c r="H56" s="6" t="n">
        <v>30</v>
      </c>
      <c r="I56" s="6" t="inlineStr">
        <is>
          <t>***建筑劳务有限公司</t>
        </is>
      </c>
      <c r="J56" s="6" t="inlineStr">
        <is>
          <t>B</t>
        </is>
      </c>
      <c r="K56" s="6" t="inlineStr">
        <is>
          <t>否</t>
        </is>
      </c>
      <c r="L56" s="6" t="b">
        <v>0</v>
      </c>
      <c r="M56" s="6" t="n">
        <v>100</v>
      </c>
      <c r="N56" s="6" t="n">
        <v>0.1425</v>
      </c>
      <c r="O56" s="6" t="n">
        <v>0.880180313431412</v>
      </c>
      <c r="P56" s="6" t="n">
        <v>0.005394209122537794</v>
      </c>
      <c r="Q56" s="6" t="inlineStr"/>
      <c r="R56" s="6" t="n">
        <v>0.119819686568588</v>
      </c>
      <c r="S56" s="6" t="n">
        <v>11.9819686568588</v>
      </c>
      <c r="T56" s="6" t="n">
        <v>14.25</v>
      </c>
      <c r="U56" s="6" t="n">
        <v>1.54075631447495</v>
      </c>
      <c r="V56" s="6" t="n">
        <v>0.7017861857997003</v>
      </c>
      <c r="W56" s="6" t="n">
        <v>0.29954921642147</v>
      </c>
      <c r="X56" s="9">
        <f>M56*(1-O56)*((1-B56)*N56-B56*'模型说明与假设'!$B$7-'模型说明与假设'!$B$8)</f>
        <v/>
      </c>
      <c r="Y56" s="6" t="b">
        <v>0</v>
      </c>
    </row>
    <row r="57">
      <c r="A57" s="6" t="inlineStr">
        <is>
          <t>E63</t>
        </is>
      </c>
      <c r="B57" s="6" t="n">
        <v>0.09779077162593171</v>
      </c>
      <c r="C57" s="6" t="inlineStr">
        <is>
          <t>A</t>
        </is>
      </c>
      <c r="D57" s="6" t="n">
        <v>0.6663113418346351</v>
      </c>
      <c r="E57" s="6" t="n">
        <v>0.1066364028423079</v>
      </c>
      <c r="F57" s="6" t="n">
        <v>0.212932153753531</v>
      </c>
      <c r="G57" s="6" t="n">
        <v>56</v>
      </c>
      <c r="H57" s="6" t="n">
        <v>62</v>
      </c>
      <c r="I57" s="6" t="inlineStr">
        <is>
          <t>***科技有限公司</t>
        </is>
      </c>
      <c r="J57" s="6" t="inlineStr">
        <is>
          <t>B</t>
        </is>
      </c>
      <c r="K57" s="6" t="inlineStr">
        <is>
          <t>否</t>
        </is>
      </c>
      <c r="L57" s="6" t="b">
        <v>0</v>
      </c>
      <c r="M57" s="6" t="n">
        <v>100</v>
      </c>
      <c r="N57" s="6" t="n">
        <v>0.1425</v>
      </c>
      <c r="O57" s="6" t="n">
        <v>0.880180313431412</v>
      </c>
      <c r="P57" s="6" t="n">
        <v>0.005378747914710855</v>
      </c>
      <c r="Q57" s="6" t="inlineStr"/>
      <c r="R57" s="6" t="n">
        <v>0.119819686568588</v>
      </c>
      <c r="S57" s="6" t="n">
        <v>11.9819686568588</v>
      </c>
      <c r="T57" s="6" t="n">
        <v>14.25</v>
      </c>
      <c r="U57" s="6" t="n">
        <v>1.540459584223726</v>
      </c>
      <c r="V57" s="6" t="n">
        <v>0.7030355763311703</v>
      </c>
      <c r="W57" s="6" t="n">
        <v>0.29954921642147</v>
      </c>
      <c r="X57" s="9">
        <f>M57*(1-O57)*((1-B57)*N57-B57*'模型说明与假设'!$B$7-'模型说明与假设'!$B$8)</f>
        <v/>
      </c>
      <c r="Y57" s="6" t="b">
        <v>0</v>
      </c>
    </row>
    <row r="58">
      <c r="A58" s="6" t="inlineStr">
        <is>
          <t>E26</t>
        </is>
      </c>
      <c r="B58" s="6" t="n">
        <v>0.1003911963733765</v>
      </c>
      <c r="C58" s="6" t="inlineStr">
        <is>
          <t>B</t>
        </is>
      </c>
      <c r="D58" s="6" t="n">
        <v>0.5728710021153892</v>
      </c>
      <c r="E58" s="6" t="n">
        <v>0.1405669648983078</v>
      </c>
      <c r="F58" s="6" t="n">
        <v>0.1885302530252621</v>
      </c>
      <c r="G58" s="6" t="n">
        <v>57</v>
      </c>
      <c r="H58" s="6" t="n">
        <v>99</v>
      </c>
      <c r="I58" s="6" t="inlineStr">
        <is>
          <t>***金属材料有限公司</t>
        </is>
      </c>
      <c r="J58" s="6" t="inlineStr">
        <is>
          <t>A</t>
        </is>
      </c>
      <c r="K58" s="6" t="inlineStr">
        <is>
          <t>否</t>
        </is>
      </c>
      <c r="L58" s="6" t="b">
        <v>0</v>
      </c>
      <c r="M58" s="6" t="n">
        <v>100</v>
      </c>
      <c r="N58" s="6" t="n">
        <v>0.1425</v>
      </c>
      <c r="O58" s="6" t="n">
        <v>0.8439092945622555</v>
      </c>
      <c r="P58" s="6" t="n">
        <v>0.006705584387652818</v>
      </c>
      <c r="Q58" s="6" t="inlineStr"/>
      <c r="R58" s="6" t="n">
        <v>0.1560907054377445</v>
      </c>
      <c r="S58" s="6" t="n">
        <v>15.60907054377445</v>
      </c>
      <c r="T58" s="6" t="n">
        <v>14.25</v>
      </c>
      <c r="U58" s="6" t="n">
        <v>2.000993162059212</v>
      </c>
      <c r="V58" s="6" t="n">
        <v>0.9402079596995683</v>
      </c>
      <c r="W58" s="6" t="n">
        <v>0.3902267635943613</v>
      </c>
      <c r="X58" s="9">
        <f>M58*(1-O58)*((1-B58)*N58-B58*'模型说明与假设'!$B$7-'模型说明与假设'!$B$8)</f>
        <v/>
      </c>
      <c r="Y58" s="6" t="b">
        <v>0</v>
      </c>
    </row>
    <row r="59">
      <c r="A59" s="6" t="inlineStr">
        <is>
          <t>E38</t>
        </is>
      </c>
      <c r="B59" s="6" t="n">
        <v>0.1007097358462161</v>
      </c>
      <c r="C59" s="6" t="inlineStr">
        <is>
          <t>B</t>
        </is>
      </c>
      <c r="D59" s="6" t="n">
        <v>0.6934252382097655</v>
      </c>
      <c r="E59" s="6" t="n">
        <v>0.09684040597231947</v>
      </c>
      <c r="F59" s="6" t="n">
        <v>0.219038192144573</v>
      </c>
      <c r="G59" s="6" t="n">
        <v>58</v>
      </c>
      <c r="H59" s="6" t="n">
        <v>44</v>
      </c>
      <c r="I59" s="6" t="inlineStr">
        <is>
          <t>***建设工程有限公司</t>
        </is>
      </c>
      <c r="J59" s="6" t="inlineStr">
        <is>
          <t>B</t>
        </is>
      </c>
      <c r="K59" s="6" t="inlineStr">
        <is>
          <t>否</t>
        </is>
      </c>
      <c r="L59" s="6" t="b">
        <v>0</v>
      </c>
      <c r="M59" s="6" t="n">
        <v>100</v>
      </c>
      <c r="N59" s="6" t="n">
        <v>0.1425</v>
      </c>
      <c r="O59" s="6" t="n">
        <v>0.8439092945622555</v>
      </c>
      <c r="P59" s="6" t="n">
        <v>0.006668666507266533</v>
      </c>
      <c r="Q59" s="6" t="inlineStr"/>
      <c r="R59" s="6" t="n">
        <v>0.1560907054377445</v>
      </c>
      <c r="S59" s="6" t="n">
        <v>15.60907054377445</v>
      </c>
      <c r="T59" s="6" t="n">
        <v>14.25</v>
      </c>
      <c r="U59" s="6" t="n">
        <v>2.000284637082101</v>
      </c>
      <c r="V59" s="6" t="n">
        <v>0.9431912227610865</v>
      </c>
      <c r="W59" s="6" t="n">
        <v>0.3902267635943613</v>
      </c>
      <c r="X59" s="9">
        <f>M59*(1-O59)*((1-B59)*N59-B59*'模型说明与假设'!$B$7-'模型说明与假设'!$B$8)</f>
        <v/>
      </c>
      <c r="Y59" s="6" t="b">
        <v>0</v>
      </c>
    </row>
    <row r="60">
      <c r="A60" s="6" t="inlineStr">
        <is>
          <t>E30</t>
        </is>
      </c>
      <c r="B60" s="6" t="n">
        <v>0.1050518950094422</v>
      </c>
      <c r="C60" s="6" t="inlineStr">
        <is>
          <t>B</t>
        </is>
      </c>
      <c r="D60" s="6" t="n">
        <v>0.7013592290124528</v>
      </c>
      <c r="E60" s="6" t="n">
        <v>0.09399621301507328</v>
      </c>
      <c r="F60" s="6" t="n">
        <v>0.2207505400965196</v>
      </c>
      <c r="G60" s="6" t="n">
        <v>59</v>
      </c>
      <c r="H60" s="6" t="n">
        <v>41</v>
      </c>
      <c r="I60" s="6" t="inlineStr">
        <is>
          <t>***建筑工程有限公司</t>
        </is>
      </c>
      <c r="J60" s="6" t="inlineStr">
        <is>
          <t>B</t>
        </is>
      </c>
      <c r="K60" s="6" t="inlineStr">
        <is>
          <t>否</t>
        </is>
      </c>
      <c r="L60" s="6" t="b">
        <v>0</v>
      </c>
      <c r="M60" s="6" t="n">
        <v>100</v>
      </c>
      <c r="N60" s="6" t="n">
        <v>0.1425</v>
      </c>
      <c r="O60" s="6" t="n">
        <v>0.8439092945622555</v>
      </c>
      <c r="P60" s="6" t="n">
        <v>0.006165421772235164</v>
      </c>
      <c r="Q60" s="6" t="inlineStr"/>
      <c r="R60" s="6" t="n">
        <v>0.1560907054377445</v>
      </c>
      <c r="S60" s="6" t="n">
        <v>15.60907054377445</v>
      </c>
      <c r="T60" s="6" t="n">
        <v>14.25</v>
      </c>
      <c r="U60" s="6" t="n">
        <v>1.99062640479362</v>
      </c>
      <c r="V60" s="6" t="n">
        <v>0.9838574639757425</v>
      </c>
      <c r="W60" s="6" t="n">
        <v>0.3902267635943613</v>
      </c>
      <c r="X60" s="9">
        <f>M60*(1-O60)*((1-B60)*N60-B60*'模型说明与假设'!$B$7-'模型说明与假设'!$B$8)</f>
        <v/>
      </c>
      <c r="Y60" s="6" t="b">
        <v>0</v>
      </c>
    </row>
    <row r="61">
      <c r="A61" s="6" t="inlineStr">
        <is>
          <t>E97</t>
        </is>
      </c>
      <c r="B61" s="6" t="n">
        <v>0.1053340294236526</v>
      </c>
      <c r="C61" s="6" t="inlineStr">
        <is>
          <t>B</t>
        </is>
      </c>
      <c r="D61" s="6" t="n">
        <v>0.6628382214269034</v>
      </c>
      <c r="E61" s="6" t="n">
        <v>0.1114590949396826</v>
      </c>
      <c r="F61" s="6" t="n">
        <v>0.2191213623452119</v>
      </c>
      <c r="G61" s="6" t="n">
        <v>60</v>
      </c>
      <c r="H61" s="6" t="n">
        <v>66</v>
      </c>
      <c r="I61" s="6" t="inlineStr">
        <is>
          <t>***美工装饰部</t>
        </is>
      </c>
      <c r="J61" s="6" t="inlineStr">
        <is>
          <t>B</t>
        </is>
      </c>
      <c r="K61" s="6" t="inlineStr">
        <is>
          <t>否</t>
        </is>
      </c>
      <c r="L61" s="6" t="b">
        <v>0</v>
      </c>
      <c r="M61" s="6" t="n">
        <v>100</v>
      </c>
      <c r="N61" s="6" t="n">
        <v>0.1425</v>
      </c>
      <c r="O61" s="6" t="n">
        <v>0.8439092945622555</v>
      </c>
      <c r="P61" s="6" t="n">
        <v>0.006132723141626462</v>
      </c>
      <c r="Q61" s="6" t="inlineStr"/>
      <c r="R61" s="6" t="n">
        <v>0.1560907054377445</v>
      </c>
      <c r="S61" s="6" t="n">
        <v>15.60907054377445</v>
      </c>
      <c r="T61" s="6" t="n">
        <v>14.25</v>
      </c>
      <c r="U61" s="6" t="n">
        <v>1.989998855317292</v>
      </c>
      <c r="V61" s="6" t="n">
        <v>0.9864997775602841</v>
      </c>
      <c r="W61" s="6" t="n">
        <v>0.3902267635943613</v>
      </c>
      <c r="X61" s="9">
        <f>M61*(1-O61)*((1-B61)*N61-B61*'模型说明与假设'!$B$7-'模型说明与假设'!$B$8)</f>
        <v/>
      </c>
      <c r="Y61" s="6" t="b">
        <v>0</v>
      </c>
    </row>
    <row r="62">
      <c r="A62" s="6" t="inlineStr">
        <is>
          <t>E73</t>
        </is>
      </c>
      <c r="B62" s="6" t="n">
        <v>0.1058469042275447</v>
      </c>
      <c r="C62" s="6" t="inlineStr">
        <is>
          <t>B</t>
        </is>
      </c>
      <c r="D62" s="6" t="n">
        <v>0.6826757176376739</v>
      </c>
      <c r="E62" s="6" t="n">
        <v>0.1029005598245196</v>
      </c>
      <c r="F62" s="6" t="n">
        <v>0.2213751591922369</v>
      </c>
      <c r="G62" s="6" t="n">
        <v>61</v>
      </c>
      <c r="H62" s="6" t="n">
        <v>50</v>
      </c>
      <c r="I62" s="6" t="inlineStr">
        <is>
          <t>***商贸有限责任公司</t>
        </is>
      </c>
      <c r="J62" s="6" t="inlineStr">
        <is>
          <t>C</t>
        </is>
      </c>
      <c r="K62" s="6" t="inlineStr">
        <is>
          <t>否</t>
        </is>
      </c>
      <c r="L62" s="6" t="b">
        <v>0</v>
      </c>
      <c r="M62" s="6" t="n">
        <v>100</v>
      </c>
      <c r="N62" s="6" t="n">
        <v>0.1425</v>
      </c>
      <c r="O62" s="6" t="n">
        <v>0.8439092945622555</v>
      </c>
      <c r="P62" s="6" t="n">
        <v>0.006073282311595443</v>
      </c>
      <c r="Q62" s="6" t="inlineStr"/>
      <c r="R62" s="6" t="n">
        <v>0.1560907054377445</v>
      </c>
      <c r="S62" s="6" t="n">
        <v>15.60907054377445</v>
      </c>
      <c r="T62" s="6" t="n">
        <v>14.25</v>
      </c>
      <c r="U62" s="6" t="n">
        <v>1.988858071710635</v>
      </c>
      <c r="V62" s="6" t="n">
        <v>0.9913030769567298</v>
      </c>
      <c r="W62" s="6" t="n">
        <v>0.3902267635943613</v>
      </c>
      <c r="X62" s="9">
        <f>M62*(1-O62)*((1-B62)*N62-B62*'模型说明与假设'!$B$7-'模型说明与假设'!$B$8)</f>
        <v/>
      </c>
      <c r="Y62" s="6" t="b">
        <v>0</v>
      </c>
    </row>
    <row r="63">
      <c r="A63" s="6" t="inlineStr">
        <is>
          <t>E53</t>
        </is>
      </c>
      <c r="B63" s="6" t="n">
        <v>0.1068120910447054</v>
      </c>
      <c r="C63" s="6" t="inlineStr">
        <is>
          <t>B</t>
        </is>
      </c>
      <c r="D63" s="6" t="n">
        <v>0.6984389405003606</v>
      </c>
      <c r="E63" s="6" t="n">
        <v>0.09184123279116767</v>
      </c>
      <c r="F63" s="6" t="n">
        <v>0.2127114602639432</v>
      </c>
      <c r="G63" s="6" t="n">
        <v>62</v>
      </c>
      <c r="H63" s="6" t="n">
        <v>43</v>
      </c>
      <c r="I63" s="6" t="inlineStr">
        <is>
          <t>***文化传媒有限公司</t>
        </is>
      </c>
      <c r="J63" s="6" t="inlineStr">
        <is>
          <t>C</t>
        </is>
      </c>
      <c r="K63" s="6" t="inlineStr">
        <is>
          <t>否</t>
        </is>
      </c>
      <c r="L63" s="6" t="b">
        <v>0</v>
      </c>
      <c r="M63" s="6" t="n">
        <v>100</v>
      </c>
      <c r="N63" s="6" t="n">
        <v>0.1425</v>
      </c>
      <c r="O63" s="6" t="n">
        <v>0.8439092945622555</v>
      </c>
      <c r="P63" s="6" t="n">
        <v>0.005961419718401846</v>
      </c>
      <c r="Q63" s="6" t="inlineStr"/>
      <c r="R63" s="6" t="n">
        <v>0.1560907054377445</v>
      </c>
      <c r="S63" s="6" t="n">
        <v>15.60907054377445</v>
      </c>
      <c r="T63" s="6" t="n">
        <v>14.25</v>
      </c>
      <c r="U63" s="6" t="n">
        <v>1.986711213861466</v>
      </c>
      <c r="V63" s="6" t="n">
        <v>1.00034247842692</v>
      </c>
      <c r="W63" s="6" t="n">
        <v>0.3902267635943613</v>
      </c>
      <c r="X63" s="9">
        <f>M63*(1-O63)*((1-B63)*N63-B63*'模型说明与假设'!$B$7-'模型说明与假设'!$B$8)</f>
        <v/>
      </c>
      <c r="Y63" s="6" t="b">
        <v>0</v>
      </c>
    </row>
    <row r="64">
      <c r="A64" s="6" t="inlineStr">
        <is>
          <t>E43</t>
        </is>
      </c>
      <c r="B64" s="6" t="n">
        <v>0.1068257653264741</v>
      </c>
      <c r="C64" s="6" t="inlineStr">
        <is>
          <t>B</t>
        </is>
      </c>
      <c r="D64" s="6" t="n">
        <v>0.6559317689996744</v>
      </c>
      <c r="E64" s="6" t="n">
        <v>0.1095551560801931</v>
      </c>
      <c r="F64" s="6" t="n">
        <v>0.2088559792974565</v>
      </c>
      <c r="G64" s="6" t="n">
        <v>63</v>
      </c>
      <c r="H64" s="6" t="n">
        <v>69</v>
      </c>
      <c r="I64" s="6" t="inlineStr">
        <is>
          <t>***建设工程有限公司</t>
        </is>
      </c>
      <c r="J64" s="6" t="inlineStr">
        <is>
          <t>B</t>
        </is>
      </c>
      <c r="K64" s="6" t="inlineStr">
        <is>
          <t>否</t>
        </is>
      </c>
      <c r="L64" s="6" t="b">
        <v>0</v>
      </c>
      <c r="M64" s="6" t="n">
        <v>100</v>
      </c>
      <c r="N64" s="6" t="n">
        <v>0.1425</v>
      </c>
      <c r="O64" s="6" t="n">
        <v>0.8439092945622555</v>
      </c>
      <c r="P64" s="6" t="n">
        <v>0.00595983490539828</v>
      </c>
      <c r="Q64" s="6" t="inlineStr"/>
      <c r="R64" s="6" t="n">
        <v>0.1560907054377445</v>
      </c>
      <c r="S64" s="6" t="n">
        <v>15.60907054377445</v>
      </c>
      <c r="T64" s="6" t="n">
        <v>14.25</v>
      </c>
      <c r="U64" s="6" t="n">
        <v>1.986680798258367</v>
      </c>
      <c r="V64" s="6" t="n">
        <v>1.000470544124177</v>
      </c>
      <c r="W64" s="6" t="n">
        <v>0.3902267635943613</v>
      </c>
      <c r="X64" s="9">
        <f>M64*(1-O64)*((1-B64)*N64-B64*'模型说明与假设'!$B$7-'模型说明与假设'!$B$8)</f>
        <v/>
      </c>
      <c r="Y64" s="6" t="b">
        <v>0</v>
      </c>
    </row>
    <row r="65">
      <c r="A65" s="6" t="inlineStr">
        <is>
          <t>E65</t>
        </is>
      </c>
      <c r="B65" s="6" t="n">
        <v>0.1073194903399995</v>
      </c>
      <c r="C65" s="6" t="inlineStr">
        <is>
          <t>B</t>
        </is>
      </c>
      <c r="D65" s="6" t="n">
        <v>0.6853511612763394</v>
      </c>
      <c r="E65" s="6" t="n">
        <v>0.09938735288542734</v>
      </c>
      <c r="F65" s="6" t="n">
        <v>0.2164801815017375</v>
      </c>
      <c r="G65" s="6" t="n">
        <v>64</v>
      </c>
      <c r="H65" s="6" t="n">
        <v>46</v>
      </c>
      <c r="I65" s="6" t="inlineStr">
        <is>
          <t>***商贸有限公司</t>
        </is>
      </c>
      <c r="J65" s="6" t="inlineStr">
        <is>
          <t>B</t>
        </is>
      </c>
      <c r="K65" s="6" t="inlineStr">
        <is>
          <t>否</t>
        </is>
      </c>
      <c r="L65" s="6" t="b">
        <v>0</v>
      </c>
      <c r="M65" s="6" t="n">
        <v>100</v>
      </c>
      <c r="N65" s="6" t="n">
        <v>0.1425</v>
      </c>
      <c r="O65" s="6" t="n">
        <v>0.8439092945622555</v>
      </c>
      <c r="P65" s="6" t="n">
        <v>0.005902613485300601</v>
      </c>
      <c r="Q65" s="6" t="inlineStr"/>
      <c r="R65" s="6" t="n">
        <v>0.1560907054377445</v>
      </c>
      <c r="S65" s="6" t="n">
        <v>15.60907054377445</v>
      </c>
      <c r="T65" s="6" t="n">
        <v>14.25</v>
      </c>
      <c r="U65" s="6" t="n">
        <v>1.985582609387805</v>
      </c>
      <c r="V65" s="6" t="n">
        <v>1.005094497263384</v>
      </c>
      <c r="W65" s="6" t="n">
        <v>0.3902267635943613</v>
      </c>
      <c r="X65" s="9">
        <f>M65*(1-O65)*((1-B65)*N65-B65*'模型说明与假设'!$B$7-'模型说明与假设'!$B$8)</f>
        <v/>
      </c>
      <c r="Y65" s="6" t="b">
        <v>0</v>
      </c>
    </row>
    <row r="66">
      <c r="A66" s="6" t="inlineStr">
        <is>
          <t>E78</t>
        </is>
      </c>
      <c r="B66" s="6" t="n">
        <v>0.1081206232300206</v>
      </c>
      <c r="C66" s="6" t="inlineStr">
        <is>
          <t>B</t>
        </is>
      </c>
      <c r="D66" s="6" t="n">
        <v>0.6583933460671925</v>
      </c>
      <c r="E66" s="6" t="n">
        <v>0.1130704111469358</v>
      </c>
      <c r="F66" s="6" t="n">
        <v>0.2179255160260057</v>
      </c>
      <c r="G66" s="6" t="n">
        <v>65</v>
      </c>
      <c r="H66" s="6" t="n">
        <v>68</v>
      </c>
      <c r="I66" s="6" t="inlineStr">
        <is>
          <t>个体经营E78</t>
        </is>
      </c>
      <c r="J66" s="6" t="inlineStr">
        <is>
          <t>C</t>
        </is>
      </c>
      <c r="K66" s="6" t="inlineStr">
        <is>
          <t>否</t>
        </is>
      </c>
      <c r="L66" s="6" t="b">
        <v>0</v>
      </c>
      <c r="M66" s="6" t="n">
        <v>100</v>
      </c>
      <c r="N66" s="6" t="n">
        <v>0.1425</v>
      </c>
      <c r="O66" s="6" t="n">
        <v>0.8439092945622555</v>
      </c>
      <c r="P66" s="6" t="n">
        <v>0.005809764307320671</v>
      </c>
      <c r="Q66" s="6" t="inlineStr"/>
      <c r="R66" s="6" t="n">
        <v>0.1560907054377445</v>
      </c>
      <c r="S66" s="6" t="n">
        <v>15.60907054377445</v>
      </c>
      <c r="T66" s="6" t="n">
        <v>14.25</v>
      </c>
      <c r="U66" s="6" t="n">
        <v>1.983800655466978</v>
      </c>
      <c r="V66" s="6" t="n">
        <v>1.01259746114055</v>
      </c>
      <c r="W66" s="6" t="n">
        <v>0.3902267635943613</v>
      </c>
      <c r="X66" s="9">
        <f>M66*(1-O66)*((1-B66)*N66-B66*'模型说明与假设'!$B$7-'模型说明与假设'!$B$8)</f>
        <v/>
      </c>
      <c r="Y66" s="6" t="b">
        <v>0</v>
      </c>
    </row>
    <row r="67">
      <c r="A67" s="6" t="inlineStr">
        <is>
          <t>E71</t>
        </is>
      </c>
      <c r="B67" s="6" t="n">
        <v>0.1092858391197591</v>
      </c>
      <c r="C67" s="6" t="inlineStr">
        <is>
          <t>B</t>
        </is>
      </c>
      <c r="D67" s="6" t="n">
        <v>0.6436293389407526</v>
      </c>
      <c r="E67" s="6" t="n">
        <v>0.1102365138247172</v>
      </c>
      <c r="F67" s="6" t="n">
        <v>0.1990945447339731</v>
      </c>
      <c r="G67" s="6" t="n">
        <v>66</v>
      </c>
      <c r="H67" s="6" t="n">
        <v>76</v>
      </c>
      <c r="I67" s="6" t="inlineStr">
        <is>
          <t>***农业科技有限公司</t>
        </is>
      </c>
      <c r="J67" s="6" t="inlineStr">
        <is>
          <t>B</t>
        </is>
      </c>
      <c r="K67" s="6" t="inlineStr">
        <is>
          <t>否</t>
        </is>
      </c>
      <c r="L67" s="6" t="b">
        <v>0</v>
      </c>
      <c r="M67" s="6" t="n">
        <v>100</v>
      </c>
      <c r="N67" s="6" t="n">
        <v>0.1425</v>
      </c>
      <c r="O67" s="6" t="n">
        <v>0.8439092945622555</v>
      </c>
      <c r="P67" s="6" t="n">
        <v>0.005674718874934879</v>
      </c>
      <c r="Q67" s="6" t="inlineStr"/>
      <c r="R67" s="6" t="n">
        <v>0.1560907054377445</v>
      </c>
      <c r="S67" s="6" t="n">
        <v>15.60907054377445</v>
      </c>
      <c r="T67" s="6" t="n">
        <v>14.25</v>
      </c>
      <c r="U67" s="6" t="n">
        <v>1.981208874441393</v>
      </c>
      <c r="V67" s="6" t="n">
        <v>1.023510223353543</v>
      </c>
      <c r="W67" s="6" t="n">
        <v>0.3902267635943613</v>
      </c>
      <c r="X67" s="9">
        <f>M67*(1-O67)*((1-B67)*N67-B67*'模型说明与假设'!$B$7-'模型说明与假设'!$B$8)</f>
        <v/>
      </c>
      <c r="Y67" s="6" t="b">
        <v>0</v>
      </c>
    </row>
    <row r="68">
      <c r="A68" s="6" t="inlineStr">
        <is>
          <t>E58</t>
        </is>
      </c>
      <c r="B68" s="6" t="n">
        <v>0.1128561568011405</v>
      </c>
      <c r="C68" s="6" t="inlineStr">
        <is>
          <t>B</t>
        </is>
      </c>
      <c r="D68" s="6" t="n">
        <v>0.7131233127159011</v>
      </c>
      <c r="E68" s="6" t="n">
        <v>0.08771791473305771</v>
      </c>
      <c r="F68" s="6" t="n">
        <v>0.2180507957309932</v>
      </c>
      <c r="G68" s="6" t="n">
        <v>67</v>
      </c>
      <c r="H68" s="6" t="n">
        <v>33</v>
      </c>
      <c r="I68" s="6" t="inlineStr">
        <is>
          <t>***油气工程建设有限责任公司</t>
        </is>
      </c>
      <c r="J68" s="6" t="inlineStr">
        <is>
          <t>B</t>
        </is>
      </c>
      <c r="K68" s="6" t="inlineStr">
        <is>
          <t>否</t>
        </is>
      </c>
      <c r="L68" s="6" t="b">
        <v>0</v>
      </c>
      <c r="M68" s="6" t="n">
        <v>100</v>
      </c>
      <c r="N68" s="6" t="n">
        <v>0.1425</v>
      </c>
      <c r="O68" s="6" t="n">
        <v>0.8439092945622555</v>
      </c>
      <c r="P68" s="6" t="n">
        <v>0.005260928521333553</v>
      </c>
      <c r="Q68" s="6" t="inlineStr"/>
      <c r="R68" s="6" t="n">
        <v>0.1560907054377445</v>
      </c>
      <c r="S68" s="6" t="n">
        <v>15.60907054377445</v>
      </c>
      <c r="T68" s="6" t="n">
        <v>14.25</v>
      </c>
      <c r="U68" s="6" t="n">
        <v>1.97326744341268</v>
      </c>
      <c r="V68" s="6" t="n">
        <v>1.056947827684964</v>
      </c>
      <c r="W68" s="6" t="n">
        <v>0.3902267635943613</v>
      </c>
      <c r="X68" s="9">
        <f>M68*(1-O68)*((1-B68)*N68-B68*'模型说明与假设'!$B$7-'模型说明与假设'!$B$8)</f>
        <v/>
      </c>
      <c r="Y68" s="6" t="b">
        <v>0</v>
      </c>
    </row>
    <row r="69">
      <c r="A69" s="6" t="inlineStr">
        <is>
          <t>E28</t>
        </is>
      </c>
      <c r="B69" s="6" t="n">
        <v>0.1133402231334726</v>
      </c>
      <c r="C69" s="6" t="inlineStr">
        <is>
          <t>B</t>
        </is>
      </c>
      <c r="D69" s="6" t="n">
        <v>0.6840755784766031</v>
      </c>
      <c r="E69" s="6" t="n">
        <v>0.1010088426442794</v>
      </c>
      <c r="F69" s="6" t="n">
        <v>0.2187158628951396</v>
      </c>
      <c r="G69" s="6" t="n">
        <v>68</v>
      </c>
      <c r="H69" s="6" t="n">
        <v>48</v>
      </c>
      <c r="I69" s="6" t="inlineStr">
        <is>
          <t>***景观工程有限公司</t>
        </is>
      </c>
      <c r="J69" s="6" t="inlineStr">
        <is>
          <t>B</t>
        </is>
      </c>
      <c r="K69" s="6" t="inlineStr">
        <is>
          <t>否</t>
        </is>
      </c>
      <c r="L69" s="6" t="b">
        <v>0</v>
      </c>
      <c r="M69" s="6" t="n">
        <v>100</v>
      </c>
      <c r="N69" s="6" t="n">
        <v>0.1425</v>
      </c>
      <c r="O69" s="6" t="n">
        <v>0.8439092945622555</v>
      </c>
      <c r="P69" s="6" t="n">
        <v>0.005204826516778961</v>
      </c>
      <c r="Q69" s="6" t="inlineStr"/>
      <c r="R69" s="6" t="n">
        <v>0.1560907054377445</v>
      </c>
      <c r="S69" s="6" t="n">
        <v>15.60907054377445</v>
      </c>
      <c r="T69" s="6" t="n">
        <v>14.25</v>
      </c>
      <c r="U69" s="6" t="n">
        <v>1.972190738274764</v>
      </c>
      <c r="V69" s="6" t="n">
        <v>1.061481323002506</v>
      </c>
      <c r="W69" s="6" t="n">
        <v>0.3902267635943613</v>
      </c>
      <c r="X69" s="9">
        <f>M69*(1-O69)*((1-B69)*N69-B69*'模型说明与假设'!$B$7-'模型说明与假设'!$B$8)</f>
        <v/>
      </c>
      <c r="Y69" s="6" t="b">
        <v>0</v>
      </c>
    </row>
    <row r="70">
      <c r="A70" s="6" t="inlineStr">
        <is>
          <t>E50</t>
        </is>
      </c>
      <c r="B70" s="6" t="n">
        <v>0.1157118857690842</v>
      </c>
      <c r="C70" s="6" t="inlineStr">
        <is>
          <t>B</t>
        </is>
      </c>
      <c r="D70" s="6" t="n">
        <v>0.6636393451950453</v>
      </c>
      <c r="E70" s="6" t="n">
        <v>0.106691604979607</v>
      </c>
      <c r="F70" s="6" t="n">
        <v>0.2105024647057259</v>
      </c>
      <c r="G70" s="6" t="n">
        <v>69</v>
      </c>
      <c r="H70" s="6" t="n">
        <v>65</v>
      </c>
      <c r="I70" s="6" t="inlineStr">
        <is>
          <t>***建筑劳务有限公司</t>
        </is>
      </c>
      <c r="J70" s="6" t="inlineStr">
        <is>
          <t>C</t>
        </is>
      </c>
      <c r="K70" s="6" t="inlineStr">
        <is>
          <t>否</t>
        </is>
      </c>
      <c r="L70" s="6" t="b">
        <v>0</v>
      </c>
      <c r="M70" s="6" t="n">
        <v>100</v>
      </c>
      <c r="N70" s="6" t="n">
        <v>0.1425</v>
      </c>
      <c r="O70" s="6" t="n">
        <v>0.8439092945622555</v>
      </c>
      <c r="P70" s="6" t="n">
        <v>0.004929957105093145</v>
      </c>
      <c r="Q70" s="6" t="inlineStr"/>
      <c r="R70" s="6" t="n">
        <v>0.1560907054377445</v>
      </c>
      <c r="S70" s="6" t="n">
        <v>15.60907054377445</v>
      </c>
      <c r="T70" s="6" t="n">
        <v>14.25</v>
      </c>
      <c r="U70" s="6" t="n">
        <v>1.966915466737359</v>
      </c>
      <c r="V70" s="6" t="n">
        <v>1.083692992633683</v>
      </c>
      <c r="W70" s="6" t="n">
        <v>0.3902267635943613</v>
      </c>
      <c r="X70" s="9">
        <f>M70*(1-O70)*((1-B70)*N70-B70*'模型说明与假设'!$B$7-'模型说明与假设'!$B$8)</f>
        <v/>
      </c>
      <c r="Y70" s="6" t="b">
        <v>0</v>
      </c>
    </row>
    <row r="71">
      <c r="A71" s="6" t="inlineStr">
        <is>
          <t>E39</t>
        </is>
      </c>
      <c r="B71" s="6" t="n">
        <v>0.1200590304308597</v>
      </c>
      <c r="C71" s="6" t="inlineStr">
        <is>
          <t>B</t>
        </is>
      </c>
      <c r="D71" s="6" t="n">
        <v>0.6792739771422808</v>
      </c>
      <c r="E71" s="6" t="n">
        <v>0.104444987526755</v>
      </c>
      <c r="F71" s="6" t="n">
        <v>0.2212067528469564</v>
      </c>
      <c r="G71" s="6" t="n">
        <v>70</v>
      </c>
      <c r="H71" s="6" t="n">
        <v>55</v>
      </c>
      <c r="I71" s="6" t="inlineStr">
        <is>
          <t>***建筑劳务有限公司</t>
        </is>
      </c>
      <c r="J71" s="6" t="inlineStr">
        <is>
          <t>C</t>
        </is>
      </c>
      <c r="K71" s="6" t="inlineStr">
        <is>
          <t>否</t>
        </is>
      </c>
      <c r="L71" s="6" t="b">
        <v>0</v>
      </c>
      <c r="M71" s="6" t="n">
        <v>100</v>
      </c>
      <c r="N71" s="6" t="n">
        <v>0.1425</v>
      </c>
      <c r="O71" s="6" t="n">
        <v>0.8439092945622555</v>
      </c>
      <c r="P71" s="6" t="n">
        <v>0.004426134563997522</v>
      </c>
      <c r="Q71" s="6" t="inlineStr"/>
      <c r="R71" s="6" t="n">
        <v>0.1560907054377445</v>
      </c>
      <c r="S71" s="6" t="n">
        <v>15.60907054377445</v>
      </c>
      <c r="T71" s="6" t="n">
        <v>14.25</v>
      </c>
      <c r="U71" s="6" t="n">
        <v>1.957246145241585</v>
      </c>
      <c r="V71" s="6" t="n">
        <v>1.124405925247471</v>
      </c>
      <c r="W71" s="6" t="n">
        <v>0.3902267635943613</v>
      </c>
      <c r="X71" s="9">
        <f>M71*(1-O71)*((1-B71)*N71-B71*'模型说明与假设'!$B$7-'模型说明与假设'!$B$8)</f>
        <v/>
      </c>
      <c r="Y71" s="6" t="b">
        <v>0</v>
      </c>
    </row>
    <row r="72">
      <c r="A72" s="6" t="inlineStr">
        <is>
          <t>E76</t>
        </is>
      </c>
      <c r="B72" s="6" t="n">
        <v>0.1214385332677358</v>
      </c>
      <c r="C72" s="6" t="inlineStr">
        <is>
          <t>B</t>
        </is>
      </c>
      <c r="D72" s="6" t="n">
        <v>0.6799369552729094</v>
      </c>
      <c r="E72" s="6" t="n">
        <v>0.1003331520654617</v>
      </c>
      <c r="F72" s="6" t="n">
        <v>0.2131461880783314</v>
      </c>
      <c r="G72" s="6" t="n">
        <v>71</v>
      </c>
      <c r="H72" s="6" t="n">
        <v>53</v>
      </c>
      <c r="I72" s="6" t="inlineStr">
        <is>
          <t>***信息科技有限公司</t>
        </is>
      </c>
      <c r="J72" s="6" t="inlineStr">
        <is>
          <t>B</t>
        </is>
      </c>
      <c r="K72" s="6" t="inlineStr">
        <is>
          <t>否</t>
        </is>
      </c>
      <c r="L72" s="6" t="b">
        <v>0</v>
      </c>
      <c r="M72" s="6" t="n">
        <v>100</v>
      </c>
      <c r="N72" s="6" t="n">
        <v>0.1425</v>
      </c>
      <c r="O72" s="6" t="n">
        <v>0.8439092945622555</v>
      </c>
      <c r="P72" s="6" t="n">
        <v>0.004266253842558711</v>
      </c>
      <c r="Q72" s="6" t="inlineStr"/>
      <c r="R72" s="6" t="n">
        <v>0.1560907054377445</v>
      </c>
      <c r="S72" s="6" t="n">
        <v>15.60907054377445</v>
      </c>
      <c r="T72" s="6" t="n">
        <v>14.25</v>
      </c>
      <c r="U72" s="6" t="n">
        <v>1.954177727355385</v>
      </c>
      <c r="V72" s="6" t="n">
        <v>1.137325579505153</v>
      </c>
      <c r="W72" s="6" t="n">
        <v>0.3902267635943613</v>
      </c>
      <c r="X72" s="9">
        <f>M72*(1-O72)*((1-B72)*N72-B72*'模型说明与假设'!$B$7-'模型说明与假设'!$B$8)</f>
        <v/>
      </c>
      <c r="Y72" s="6" t="b">
        <v>0</v>
      </c>
    </row>
    <row r="73">
      <c r="A73" s="6" t="inlineStr">
        <is>
          <t>E88</t>
        </is>
      </c>
      <c r="B73" s="6" t="n">
        <v>0.1237002419301246</v>
      </c>
      <c r="C73" s="6" t="inlineStr">
        <is>
          <t>B</t>
        </is>
      </c>
      <c r="D73" s="6" t="n">
        <v>0.6759539447559025</v>
      </c>
      <c r="E73" s="6" t="n">
        <v>0.1028183829602943</v>
      </c>
      <c r="F73" s="6" t="n">
        <v>0.2144772029490705</v>
      </c>
      <c r="G73" s="6" t="n">
        <v>72</v>
      </c>
      <c r="H73" s="6" t="n">
        <v>57</v>
      </c>
      <c r="I73" s="6" t="inlineStr">
        <is>
          <t>***贸易有限公司</t>
        </is>
      </c>
      <c r="J73" s="6" t="inlineStr">
        <is>
          <t>A</t>
        </is>
      </c>
      <c r="K73" s="6" t="inlineStr">
        <is>
          <t>否</t>
        </is>
      </c>
      <c r="L73" s="6" t="b">
        <v>0</v>
      </c>
      <c r="M73" s="6" t="n">
        <v>100</v>
      </c>
      <c r="N73" s="6" t="n">
        <v>0.1425</v>
      </c>
      <c r="O73" s="6" t="n">
        <v>0.8439092945622555</v>
      </c>
      <c r="P73" s="6" t="n">
        <v>0.004004127804858062</v>
      </c>
      <c r="Q73" s="6" t="inlineStr"/>
      <c r="R73" s="6" t="n">
        <v>0.1560907054377445</v>
      </c>
      <c r="S73" s="6" t="n">
        <v>15.60907054377445</v>
      </c>
      <c r="T73" s="6" t="n">
        <v>14.25</v>
      </c>
      <c r="U73" s="6" t="n">
        <v>1.949147025621736</v>
      </c>
      <c r="V73" s="6" t="n">
        <v>1.158507481541569</v>
      </c>
      <c r="W73" s="6" t="n">
        <v>0.3902267635943613</v>
      </c>
      <c r="X73" s="9">
        <f>M73*(1-O73)*((1-B73)*N73-B73*'模型说明与假设'!$B$7-'模型说明与假设'!$B$8)</f>
        <v/>
      </c>
      <c r="Y73" s="6" t="b">
        <v>0</v>
      </c>
    </row>
    <row r="74">
      <c r="A74" s="6" t="inlineStr">
        <is>
          <t>E57</t>
        </is>
      </c>
      <c r="B74" s="6" t="n">
        <v>0.1248033223699274</v>
      </c>
      <c r="C74" s="6" t="inlineStr">
        <is>
          <t>B</t>
        </is>
      </c>
      <c r="D74" s="6" t="n">
        <v>0.6707355116068834</v>
      </c>
      <c r="E74" s="6" t="n">
        <v>0.09969966253945592</v>
      </c>
      <c r="F74" s="6" t="n">
        <v>0.2030954035972303</v>
      </c>
      <c r="G74" s="6" t="n">
        <v>73</v>
      </c>
      <c r="H74" s="6" t="n">
        <v>60</v>
      </c>
      <c r="I74" s="6" t="inlineStr">
        <is>
          <t>***机械设备有限公司</t>
        </is>
      </c>
      <c r="J74" s="6" t="inlineStr">
        <is>
          <t>B</t>
        </is>
      </c>
      <c r="K74" s="6" t="inlineStr">
        <is>
          <t>否</t>
        </is>
      </c>
      <c r="L74" s="6" t="b">
        <v>0</v>
      </c>
      <c r="M74" s="6" t="n">
        <v>100</v>
      </c>
      <c r="N74" s="6" t="n">
        <v>0.1425</v>
      </c>
      <c r="O74" s="6" t="n">
        <v>0.8439092945622555</v>
      </c>
      <c r="P74" s="6" t="n">
        <v>0.003876283706385545</v>
      </c>
      <c r="Q74" s="6" t="inlineStr"/>
      <c r="R74" s="6" t="n">
        <v>0.1560907054377445</v>
      </c>
      <c r="S74" s="6" t="n">
        <v>15.60907054377445</v>
      </c>
      <c r="T74" s="6" t="n">
        <v>14.25</v>
      </c>
      <c r="U74" s="6" t="n">
        <v>1.946693452014688</v>
      </c>
      <c r="V74" s="6" t="n">
        <v>1.168838317781772</v>
      </c>
      <c r="W74" s="6" t="n">
        <v>0.3902267635943613</v>
      </c>
      <c r="X74" s="9">
        <f>M74*(1-O74)*((1-B74)*N74-B74*'模型说明与假设'!$B$7-'模型说明与假设'!$B$8)</f>
        <v/>
      </c>
      <c r="Y74" s="6" t="b">
        <v>0</v>
      </c>
    </row>
    <row r="75">
      <c r="A75" s="6" t="inlineStr">
        <is>
          <t>E111</t>
        </is>
      </c>
      <c r="B75" s="6" t="n">
        <v>0.1325963891316189</v>
      </c>
      <c r="C75" s="6" t="inlineStr">
        <is>
          <t>B</t>
        </is>
      </c>
      <c r="D75" s="6" t="n">
        <v>0.5535365961853309</v>
      </c>
      <c r="E75" s="6" t="n">
        <v>0.1454538384103871</v>
      </c>
      <c r="F75" s="6" t="n">
        <v>0.1803373399204718</v>
      </c>
      <c r="G75" s="6" t="n">
        <v>74</v>
      </c>
      <c r="H75" s="6" t="n">
        <v>104</v>
      </c>
      <c r="I75" s="6" t="inlineStr">
        <is>
          <t>***科技有限公司</t>
        </is>
      </c>
      <c r="J75" s="6" t="inlineStr">
        <is>
          <t>D</t>
        </is>
      </c>
      <c r="K75" s="6" t="inlineStr">
        <is>
          <t>是</t>
        </is>
      </c>
      <c r="L75" s="6" t="b">
        <v>1</v>
      </c>
      <c r="M75" s="6" t="n">
        <v>0</v>
      </c>
      <c r="N75" s="6" t="n">
        <v>0</v>
      </c>
      <c r="O75" s="6" t="n">
        <v>0</v>
      </c>
      <c r="P75" s="6" t="n">
        <v>0</v>
      </c>
      <c r="Q75" s="6" t="inlineStr">
        <is>
          <t>银行原始D级</t>
        </is>
      </c>
      <c r="R75" s="6" t="n">
        <v>0</v>
      </c>
      <c r="S75" s="6" t="n">
        <v>0</v>
      </c>
      <c r="T75" s="6" t="n">
        <v>0</v>
      </c>
      <c r="U75" s="6" t="n">
        <v>0</v>
      </c>
      <c r="V75" s="6" t="n">
        <v>0</v>
      </c>
      <c r="W75" s="6" t="n">
        <v>0</v>
      </c>
      <c r="X75" s="9">
        <f>M75*(1-O75)*((1-B75)*N75-B75*'模型说明与假设'!$B$7-'模型说明与假设'!$B$8)</f>
        <v/>
      </c>
      <c r="Y75" s="6" t="b">
        <v>0</v>
      </c>
    </row>
    <row r="76">
      <c r="A76" s="6" t="inlineStr">
        <is>
          <t>E84</t>
        </is>
      </c>
      <c r="B76" s="6" t="n">
        <v>0.1429601592770065</v>
      </c>
      <c r="C76" s="6" t="inlineStr">
        <is>
          <t>B</t>
        </is>
      </c>
      <c r="D76" s="6" t="n">
        <v>0.6534986165615283</v>
      </c>
      <c r="E76" s="6" t="n">
        <v>0.1096210828570741</v>
      </c>
      <c r="F76" s="6" t="n">
        <v>0.2067444155119664</v>
      </c>
      <c r="G76" s="6" t="n">
        <v>75</v>
      </c>
      <c r="H76" s="6" t="n">
        <v>71</v>
      </c>
      <c r="I76" s="6" t="inlineStr">
        <is>
          <t>***建材有限公司</t>
        </is>
      </c>
      <c r="J76" s="6" t="inlineStr">
        <is>
          <t>A</t>
        </is>
      </c>
      <c r="K76" s="6" t="inlineStr">
        <is>
          <t>否</t>
        </is>
      </c>
      <c r="L76" s="6" t="b">
        <v>0</v>
      </c>
      <c r="M76" s="6" t="n">
        <v>100</v>
      </c>
      <c r="N76" s="6" t="n">
        <v>0.15</v>
      </c>
      <c r="O76" s="6" t="n">
        <v>0.885864918999995</v>
      </c>
      <c r="P76" s="6" t="n">
        <v>0.002029308105859561</v>
      </c>
      <c r="Q76" s="6" t="inlineStr"/>
      <c r="R76" s="6" t="n">
        <v>0.114135081000005</v>
      </c>
      <c r="S76" s="6" t="n">
        <v>11.4135081000005</v>
      </c>
      <c r="T76" s="6" t="n">
        <v>15</v>
      </c>
      <c r="U76" s="6" t="n">
        <v>1.467274674617254</v>
      </c>
      <c r="V76" s="6" t="n">
        <v>0.9790061615312853</v>
      </c>
      <c r="W76" s="6" t="n">
        <v>0.2853377025000126</v>
      </c>
      <c r="X76" s="9">
        <f>M76*(1-O76)*((1-B76)*N76-B76*'模型说明与假设'!$B$7-'模型说明与假设'!$B$8)</f>
        <v/>
      </c>
      <c r="Y76" s="6" t="b">
        <v>0</v>
      </c>
    </row>
    <row r="77">
      <c r="A77" s="6" t="inlineStr">
        <is>
          <t>E67</t>
        </is>
      </c>
      <c r="B77" s="6" t="n">
        <v>0.1478236064432818</v>
      </c>
      <c r="C77" s="6" t="inlineStr">
        <is>
          <t>B</t>
        </is>
      </c>
      <c r="D77" s="6" t="n">
        <v>0.679605801020562</v>
      </c>
      <c r="E77" s="6" t="n">
        <v>0.09993940388291073</v>
      </c>
      <c r="F77" s="6" t="n">
        <v>0.2119869799319366</v>
      </c>
      <c r="G77" s="6" t="n">
        <v>76</v>
      </c>
      <c r="H77" s="6" t="n">
        <v>54</v>
      </c>
      <c r="I77" s="6" t="inlineStr">
        <is>
          <t>***信息技术有限公司</t>
        </is>
      </c>
      <c r="J77" s="6" t="inlineStr">
        <is>
          <t>B</t>
        </is>
      </c>
      <c r="K77" s="6" t="inlineStr">
        <is>
          <t>否</t>
        </is>
      </c>
      <c r="L77" s="6" t="b">
        <v>0</v>
      </c>
      <c r="M77" s="6" t="n">
        <v>100</v>
      </c>
      <c r="N77" s="6" t="n">
        <v>0.15</v>
      </c>
      <c r="O77" s="6" t="n">
        <v>0.885864918999995</v>
      </c>
      <c r="P77" s="6" t="n">
        <v>0.001612990653663001</v>
      </c>
      <c r="Q77" s="6" t="inlineStr"/>
      <c r="R77" s="6" t="n">
        <v>0.114135081000005</v>
      </c>
      <c r="S77" s="6" t="n">
        <v>11.4135081000005</v>
      </c>
      <c r="T77" s="6" t="n">
        <v>15</v>
      </c>
      <c r="U77" s="6" t="n">
        <v>1.458948325573323</v>
      </c>
      <c r="V77" s="6" t="n">
        <v>1.01231155770701</v>
      </c>
      <c r="W77" s="6" t="n">
        <v>0.2853377025000126</v>
      </c>
      <c r="X77" s="9">
        <f>M77*(1-O77)*((1-B77)*N77-B77*'模型说明与假设'!$B$7-'模型说明与假设'!$B$8)</f>
        <v/>
      </c>
      <c r="Y77" s="6" t="b">
        <v>0</v>
      </c>
    </row>
    <row r="78">
      <c r="A78" s="6" t="inlineStr">
        <is>
          <t>E62</t>
        </is>
      </c>
      <c r="B78" s="6" t="n">
        <v>0.1484542484848348</v>
      </c>
      <c r="C78" s="6" t="inlineStr">
        <is>
          <t>B</t>
        </is>
      </c>
      <c r="D78" s="6" t="n">
        <v>0.6645283933426314</v>
      </c>
      <c r="E78" s="6" t="n">
        <v>0.1073385473987715</v>
      </c>
      <c r="F78" s="6" t="n">
        <v>0.2126245888806005</v>
      </c>
      <c r="G78" s="6" t="n">
        <v>77</v>
      </c>
      <c r="H78" s="6" t="n">
        <v>63</v>
      </c>
      <c r="I78" s="6" t="inlineStr">
        <is>
          <t>***工程造价咨询有限公司***分公司</t>
        </is>
      </c>
      <c r="J78" s="6" t="inlineStr">
        <is>
          <t>B</t>
        </is>
      </c>
      <c r="K78" s="6" t="inlineStr">
        <is>
          <t>否</t>
        </is>
      </c>
      <c r="L78" s="6" t="b">
        <v>0</v>
      </c>
      <c r="M78" s="6" t="n">
        <v>100</v>
      </c>
      <c r="N78" s="6" t="n">
        <v>0.15</v>
      </c>
      <c r="O78" s="6" t="n">
        <v>0.885864918999995</v>
      </c>
      <c r="P78" s="6" t="n">
        <v>0.001559006868292009</v>
      </c>
      <c r="Q78" s="6" t="inlineStr"/>
      <c r="R78" s="6" t="n">
        <v>0.114135081000005</v>
      </c>
      <c r="S78" s="6" t="n">
        <v>11.4135081000005</v>
      </c>
      <c r="T78" s="6" t="n">
        <v>15</v>
      </c>
      <c r="U78" s="6" t="n">
        <v>1.457868649865903</v>
      </c>
      <c r="V78" s="6" t="n">
        <v>1.016630260536689</v>
      </c>
      <c r="W78" s="6" t="n">
        <v>0.2853377025000126</v>
      </c>
      <c r="X78" s="9">
        <f>M78*(1-O78)*((1-B78)*N78-B78*'模型说明与假设'!$B$7-'模型说明与假设'!$B$8)</f>
        <v/>
      </c>
      <c r="Y78" s="6" t="b">
        <v>0</v>
      </c>
    </row>
    <row r="79">
      <c r="A79" s="6" t="inlineStr">
        <is>
          <t>E60</t>
        </is>
      </c>
      <c r="B79" s="6" t="n">
        <v>0.1543930665552596</v>
      </c>
      <c r="C79" s="6" t="inlineStr">
        <is>
          <t>B</t>
        </is>
      </c>
      <c r="D79" s="6" t="n">
        <v>0.6677678310603311</v>
      </c>
      <c r="E79" s="6" t="n">
        <v>0.1035397009036463</v>
      </c>
      <c r="F79" s="6" t="n">
        <v>0.2081089309374455</v>
      </c>
      <c r="G79" s="6" t="n">
        <v>78</v>
      </c>
      <c r="H79" s="6" t="n">
        <v>61</v>
      </c>
      <c r="I79" s="6" t="inlineStr">
        <is>
          <t>***机械租赁有限公司</t>
        </is>
      </c>
      <c r="J79" s="6" t="inlineStr">
        <is>
          <t>B</t>
        </is>
      </c>
      <c r="K79" s="6" t="inlineStr">
        <is>
          <t>否</t>
        </is>
      </c>
      <c r="L79" s="6" t="b">
        <v>0</v>
      </c>
      <c r="M79" s="6" t="n">
        <v>100</v>
      </c>
      <c r="N79" s="6" t="n">
        <v>0.15</v>
      </c>
      <c r="O79" s="6" t="n">
        <v>0.885864918999995</v>
      </c>
      <c r="P79" s="6" t="n">
        <v>0.001050636257157839</v>
      </c>
      <c r="Q79" s="6" t="inlineStr"/>
      <c r="R79" s="6" t="n">
        <v>0.114135081000005</v>
      </c>
      <c r="S79" s="6" t="n">
        <v>11.4135081000005</v>
      </c>
      <c r="T79" s="6" t="n">
        <v>15</v>
      </c>
      <c r="U79" s="6" t="n">
        <v>1.44770123764322</v>
      </c>
      <c r="V79" s="6" t="n">
        <v>1.057299909427423</v>
      </c>
      <c r="W79" s="6" t="n">
        <v>0.2853377025000126</v>
      </c>
      <c r="X79" s="9">
        <f>M79*(1-O79)*((1-B79)*N79-B79*'模型说明与假设'!$B$7-'模型说明与假设'!$B$8)</f>
        <v/>
      </c>
      <c r="Y79" s="6" t="b">
        <v>0</v>
      </c>
    </row>
    <row r="80">
      <c r="A80" s="6" t="inlineStr">
        <is>
          <t>E105</t>
        </is>
      </c>
      <c r="B80" s="6" t="n">
        <v>0.1610290603141188</v>
      </c>
      <c r="C80" s="6" t="inlineStr">
        <is>
          <t>B</t>
        </is>
      </c>
      <c r="D80" s="6" t="n">
        <v>0.5927204241659617</v>
      </c>
      <c r="E80" s="6" t="n">
        <v>0.1374396255827426</v>
      </c>
      <c r="F80" s="6" t="n">
        <v>0.2000180662283184</v>
      </c>
      <c r="G80" s="6" t="n">
        <v>79</v>
      </c>
      <c r="H80" s="6" t="n">
        <v>91</v>
      </c>
      <c r="I80" s="6" t="inlineStr">
        <is>
          <t>***建材经营部</t>
        </is>
      </c>
      <c r="J80" s="6" t="inlineStr">
        <is>
          <t>C</t>
        </is>
      </c>
      <c r="K80" s="6" t="inlineStr">
        <is>
          <t>否</t>
        </is>
      </c>
      <c r="L80" s="6" t="b">
        <v>0</v>
      </c>
      <c r="M80" s="6" t="n">
        <v>100</v>
      </c>
      <c r="N80" s="6" t="n">
        <v>0.15</v>
      </c>
      <c r="O80" s="6" t="n">
        <v>0.885864918999995</v>
      </c>
      <c r="P80" s="6" t="n">
        <v>0.0004825864932706471</v>
      </c>
      <c r="Q80" s="6" t="inlineStr"/>
      <c r="R80" s="6" t="n">
        <v>0.114135081000005</v>
      </c>
      <c r="S80" s="6" t="n">
        <v>11.4135081000005</v>
      </c>
      <c r="T80" s="6" t="n">
        <v>15</v>
      </c>
      <c r="U80" s="6" t="n">
        <v>1.436340242365476</v>
      </c>
      <c r="V80" s="6" t="n">
        <v>1.102743890538398</v>
      </c>
      <c r="W80" s="6" t="n">
        <v>0.2853377025000126</v>
      </c>
      <c r="X80" s="9">
        <f>M80*(1-O80)*((1-B80)*N80-B80*'模型说明与假设'!$B$7-'模型说明与假设'!$B$8)</f>
        <v/>
      </c>
      <c r="Y80" s="6" t="b">
        <v>0</v>
      </c>
    </row>
    <row r="81">
      <c r="A81" s="6" t="inlineStr">
        <is>
          <t>E70</t>
        </is>
      </c>
      <c r="B81" s="6" t="n">
        <v>0.1630239610145202</v>
      </c>
      <c r="C81" s="6" t="inlineStr">
        <is>
          <t>B</t>
        </is>
      </c>
      <c r="D81" s="6" t="n">
        <v>0.6807194033982533</v>
      </c>
      <c r="E81" s="6" t="n">
        <v>0.09868730427920515</v>
      </c>
      <c r="F81" s="6" t="n">
        <v>0.210405403920355</v>
      </c>
      <c r="G81" s="6" t="n">
        <v>80</v>
      </c>
      <c r="H81" s="6" t="n">
        <v>51</v>
      </c>
      <c r="I81" s="6" t="inlineStr">
        <is>
          <t>***科技有限公司</t>
        </is>
      </c>
      <c r="J81" s="6" t="inlineStr">
        <is>
          <t>B</t>
        </is>
      </c>
      <c r="K81" s="6" t="inlineStr">
        <is>
          <t>否</t>
        </is>
      </c>
      <c r="L81" s="6" t="b">
        <v>0</v>
      </c>
      <c r="M81" s="6" t="n">
        <v>100</v>
      </c>
      <c r="N81" s="6" t="n">
        <v>0.15</v>
      </c>
      <c r="O81" s="6" t="n">
        <v>0.885864918999995</v>
      </c>
      <c r="P81" s="6" t="n">
        <v>0.0003118203785001845</v>
      </c>
      <c r="Q81" s="6" t="inlineStr"/>
      <c r="R81" s="6" t="n">
        <v>0.114135081000005</v>
      </c>
      <c r="S81" s="6" t="n">
        <v>11.4135081000005</v>
      </c>
      <c r="T81" s="6" t="n">
        <v>15</v>
      </c>
      <c r="U81" s="6" t="n">
        <v>1.432924920070066</v>
      </c>
      <c r="V81" s="6" t="n">
        <v>1.116405179720035</v>
      </c>
      <c r="W81" s="6" t="n">
        <v>0.2853377025000126</v>
      </c>
      <c r="X81" s="9">
        <f>M81*(1-O81)*((1-B81)*N81-B81*'模型说明与假设'!$B$7-'模型说明与假设'!$B$8)</f>
        <v/>
      </c>
      <c r="Y81" s="6" t="b">
        <v>0</v>
      </c>
    </row>
    <row r="82">
      <c r="A82" s="6" t="inlineStr">
        <is>
          <t>E66</t>
        </is>
      </c>
      <c r="B82" s="6" t="n">
        <v>0.164641687049838</v>
      </c>
      <c r="C82" s="6" t="inlineStr">
        <is>
          <t>B</t>
        </is>
      </c>
      <c r="D82" s="6" t="n">
        <v>0.5698032189073957</v>
      </c>
      <c r="E82" s="6" t="n">
        <v>0.1409173070995913</v>
      </c>
      <c r="F82" s="6" t="n">
        <v>0.1866474569641764</v>
      </c>
      <c r="G82" s="6" t="n">
        <v>81</v>
      </c>
      <c r="H82" s="6" t="n">
        <v>100</v>
      </c>
      <c r="I82" s="6" t="inlineStr">
        <is>
          <t>***快递有限公司</t>
        </is>
      </c>
      <c r="J82" s="6" t="inlineStr">
        <is>
          <t>B</t>
        </is>
      </c>
      <c r="K82" s="6" t="inlineStr">
        <is>
          <t>否</t>
        </is>
      </c>
      <c r="L82" s="6" t="b">
        <v>0</v>
      </c>
      <c r="M82" s="6" t="n">
        <v>100</v>
      </c>
      <c r="N82" s="6" t="n">
        <v>0.15</v>
      </c>
      <c r="O82" s="6" t="n">
        <v>0.885864918999995</v>
      </c>
      <c r="P82" s="6" t="n">
        <v>0.00017334090944257</v>
      </c>
      <c r="Q82" s="6" t="inlineStr"/>
      <c r="R82" s="6" t="n">
        <v>0.114135081000005</v>
      </c>
      <c r="S82" s="6" t="n">
        <v>11.4135081000005</v>
      </c>
      <c r="T82" s="6" t="n">
        <v>15</v>
      </c>
      <c r="U82" s="6" t="n">
        <v>1.430155330688914</v>
      </c>
      <c r="V82" s="6" t="n">
        <v>1.127483537244645</v>
      </c>
      <c r="W82" s="6" t="n">
        <v>0.2853377025000126</v>
      </c>
      <c r="X82" s="9">
        <f>M82*(1-O82)*((1-B82)*N82-B82*'模型说明与假设'!$B$7-'模型说明与假设'!$B$8)</f>
        <v/>
      </c>
      <c r="Y82" s="6" t="b">
        <v>0</v>
      </c>
    </row>
    <row r="83">
      <c r="A83" s="6" t="inlineStr">
        <is>
          <t>E87</t>
        </is>
      </c>
      <c r="B83" s="6" t="n">
        <v>0.1726085885283659</v>
      </c>
      <c r="C83" s="6" t="inlineStr">
        <is>
          <t>B</t>
        </is>
      </c>
      <c r="D83" s="6" t="n">
        <v>0.6496547901139514</v>
      </c>
      <c r="E83" s="6" t="n">
        <v>0.1126404365118356</v>
      </c>
      <c r="F83" s="6" t="n">
        <v>0.2088722696229862</v>
      </c>
      <c r="G83" s="6" t="n">
        <v>82</v>
      </c>
      <c r="H83" s="6" t="n">
        <v>74</v>
      </c>
      <c r="I83" s="6" t="inlineStr">
        <is>
          <t>***实业有限责任公司</t>
        </is>
      </c>
      <c r="J83" s="6" t="inlineStr">
        <is>
          <t>C</t>
        </is>
      </c>
      <c r="K83" s="6" t="inlineStr">
        <is>
          <t>是</t>
        </is>
      </c>
      <c r="L83" s="6" t="b">
        <v>0</v>
      </c>
      <c r="M83" s="6" t="n">
        <v>100</v>
      </c>
      <c r="N83" s="6" t="n">
        <v>0.15</v>
      </c>
      <c r="O83" s="6" t="n">
        <v>0.885864918999995</v>
      </c>
      <c r="P83" s="6" t="n">
        <v>-0.0005086362997355542</v>
      </c>
      <c r="Q83" s="6" t="inlineStr"/>
      <c r="R83" s="6" t="n">
        <v>0.114135081000005</v>
      </c>
      <c r="S83" s="6" t="n">
        <v>11.4135081000005</v>
      </c>
      <c r="T83" s="6" t="n">
        <v>15</v>
      </c>
      <c r="U83" s="6" t="n">
        <v>1.416515786505352</v>
      </c>
      <c r="V83" s="6" t="n">
        <v>1.182041713978895</v>
      </c>
      <c r="W83" s="6" t="n">
        <v>0.2853377025000126</v>
      </c>
      <c r="X83" s="9">
        <f>M83*(1-O83)*((1-B83)*N83-B83*'模型说明与假设'!$B$7-'模型说明与假设'!$B$8)</f>
        <v/>
      </c>
      <c r="Y83" s="6" t="b">
        <v>1</v>
      </c>
    </row>
    <row r="84">
      <c r="A84" s="6" t="inlineStr">
        <is>
          <t>E82</t>
        </is>
      </c>
      <c r="B84" s="6" t="n">
        <v>0.1729514496973683</v>
      </c>
      <c r="C84" s="6" t="inlineStr">
        <is>
          <t>B</t>
        </is>
      </c>
      <c r="D84" s="6" t="n">
        <v>0.6380989512464567</v>
      </c>
      <c r="E84" s="6" t="n">
        <v>0.1161934152299443</v>
      </c>
      <c r="F84" s="6" t="n">
        <v>0.2048706315036496</v>
      </c>
      <c r="G84" s="6" t="n">
        <v>83</v>
      </c>
      <c r="H84" s="6" t="n">
        <v>79</v>
      </c>
      <c r="I84" s="6" t="inlineStr">
        <is>
          <t>***商贸有限公司</t>
        </is>
      </c>
      <c r="J84" s="6" t="inlineStr">
        <is>
          <t>D</t>
        </is>
      </c>
      <c r="K84" s="6" t="inlineStr">
        <is>
          <t>是</t>
        </is>
      </c>
      <c r="L84" s="6" t="b">
        <v>1</v>
      </c>
      <c r="M84" s="6" t="n">
        <v>0</v>
      </c>
      <c r="N84" s="6" t="n">
        <v>0</v>
      </c>
      <c r="O84" s="6" t="n">
        <v>0</v>
      </c>
      <c r="P84" s="6" t="n">
        <v>0</v>
      </c>
      <c r="Q84" s="6" t="inlineStr">
        <is>
          <t>银行原始D级</t>
        </is>
      </c>
      <c r="R84" s="6" t="n">
        <v>0</v>
      </c>
      <c r="S84" s="6" t="n">
        <v>0</v>
      </c>
      <c r="T84" s="6" t="n">
        <v>0</v>
      </c>
      <c r="U84" s="6" t="n">
        <v>0</v>
      </c>
      <c r="V84" s="6" t="n">
        <v>0</v>
      </c>
      <c r="W84" s="6" t="n">
        <v>0</v>
      </c>
      <c r="X84" s="9">
        <f>M84*(1-O84)*((1-B84)*N84-B84*'模型说明与假设'!$B$7-'模型说明与假设'!$B$8)</f>
        <v/>
      </c>
      <c r="Y84" s="6" t="b">
        <v>0</v>
      </c>
    </row>
    <row r="85">
      <c r="A85" s="6" t="inlineStr">
        <is>
          <t>E106</t>
        </is>
      </c>
      <c r="B85" s="6" t="n">
        <v>0.1735738724474291</v>
      </c>
      <c r="C85" s="6" t="inlineStr">
        <is>
          <t>B</t>
        </is>
      </c>
      <c r="D85" s="6" t="n">
        <v>0.6395628748170353</v>
      </c>
      <c r="E85" s="6" t="n">
        <v>0.116437118291688</v>
      </c>
      <c r="F85" s="6" t="n">
        <v>0.206607069325174</v>
      </c>
      <c r="G85" s="6" t="n">
        <v>84</v>
      </c>
      <c r="H85" s="6" t="n">
        <v>78</v>
      </c>
      <c r="I85" s="6" t="inlineStr">
        <is>
          <t>***财务管理有限公司</t>
        </is>
      </c>
      <c r="J85" s="6" t="inlineStr">
        <is>
          <t>B</t>
        </is>
      </c>
      <c r="K85" s="6" t="inlineStr">
        <is>
          <t>否</t>
        </is>
      </c>
      <c r="L85" s="6" t="b">
        <v>0</v>
      </c>
      <c r="M85" s="6" t="n">
        <v>0</v>
      </c>
      <c r="N85" s="6" t="n">
        <v>0.15</v>
      </c>
      <c r="O85" s="6" t="n">
        <v>0.885864918999995</v>
      </c>
      <c r="P85" s="6" t="n">
        <v>-0.0005912658684532693</v>
      </c>
      <c r="Q85" s="6" t="inlineStr"/>
      <c r="R85" s="6" t="n">
        <v>0</v>
      </c>
      <c r="S85" s="6" t="n">
        <v>0</v>
      </c>
      <c r="T85" s="6" t="n">
        <v>0</v>
      </c>
      <c r="U85" s="6" t="n">
        <v>0</v>
      </c>
      <c r="V85" s="6" t="n">
        <v>0</v>
      </c>
      <c r="W85" s="6" t="n">
        <v>0</v>
      </c>
      <c r="X85" s="9">
        <f>M85*(1-O85)*((1-B85)*N85-B85*'模型说明与假设'!$B$7-'模型说明与假设'!$B$8)</f>
        <v/>
      </c>
      <c r="Y85" s="6" t="b">
        <v>0</v>
      </c>
    </row>
    <row r="86">
      <c r="A86" s="6" t="inlineStr">
        <is>
          <t>E85</t>
        </is>
      </c>
      <c r="B86" s="6" t="n">
        <v>0.174936682161572</v>
      </c>
      <c r="C86" s="6" t="inlineStr">
        <is>
          <t>B</t>
        </is>
      </c>
      <c r="D86" s="6" t="n">
        <v>0.6500637609846157</v>
      </c>
      <c r="E86" s="6" t="n">
        <v>0.1123077973035428</v>
      </c>
      <c r="F86" s="6" t="n">
        <v>0.2086300901800264</v>
      </c>
      <c r="G86" s="6" t="n">
        <v>85</v>
      </c>
      <c r="H86" s="6" t="n">
        <v>73</v>
      </c>
      <c r="I86" s="6" t="inlineStr">
        <is>
          <t>***安防科技有限公司</t>
        </is>
      </c>
      <c r="J86" s="6" t="inlineStr">
        <is>
          <t>B</t>
        </is>
      </c>
      <c r="K86" s="6" t="inlineStr">
        <is>
          <t>否</t>
        </is>
      </c>
      <c r="L86" s="6" t="b">
        <v>0</v>
      </c>
      <c r="M86" s="6" t="n">
        <v>0</v>
      </c>
      <c r="N86" s="6" t="n">
        <v>0.15</v>
      </c>
      <c r="O86" s="6" t="n">
        <v>0.885864918999995</v>
      </c>
      <c r="P86" s="6" t="n">
        <v>-0.0007079241662867359</v>
      </c>
      <c r="Q86" s="6" t="inlineStr"/>
      <c r="R86" s="6" t="n">
        <v>0</v>
      </c>
      <c r="S86" s="6" t="n">
        <v>0</v>
      </c>
      <c r="T86" s="6" t="n">
        <v>0</v>
      </c>
      <c r="U86" s="6" t="n">
        <v>0</v>
      </c>
      <c r="V86" s="6" t="n">
        <v>0</v>
      </c>
      <c r="W86" s="6" t="n">
        <v>0</v>
      </c>
      <c r="X86" s="9">
        <f>M86*(1-O86)*((1-B86)*N86-B86*'模型说明与假设'!$B$7-'模型说明与假设'!$B$8)</f>
        <v/>
      </c>
      <c r="Y86" s="6" t="b">
        <v>0</v>
      </c>
    </row>
    <row r="87">
      <c r="A87" s="6" t="inlineStr">
        <is>
          <t>E93</t>
        </is>
      </c>
      <c r="B87" s="6" t="n">
        <v>0.1769775706677708</v>
      </c>
      <c r="C87" s="6" t="inlineStr">
        <is>
          <t>B</t>
        </is>
      </c>
      <c r="D87" s="6" t="n">
        <v>0.6530780546757113</v>
      </c>
      <c r="E87" s="6" t="n">
        <v>0.110003815263096</v>
      </c>
      <c r="F87" s="6" t="n">
        <v>0.2070813871742097</v>
      </c>
      <c r="G87" s="6" t="n">
        <v>86</v>
      </c>
      <c r="H87" s="6" t="n">
        <v>72</v>
      </c>
      <c r="I87" s="6" t="inlineStr">
        <is>
          <t>***电脑设计事务所</t>
        </is>
      </c>
      <c r="J87" s="6" t="inlineStr">
        <is>
          <t>B</t>
        </is>
      </c>
      <c r="K87" s="6" t="inlineStr">
        <is>
          <t>否</t>
        </is>
      </c>
      <c r="L87" s="6" t="b">
        <v>0</v>
      </c>
      <c r="M87" s="6" t="n">
        <v>0</v>
      </c>
      <c r="N87" s="6" t="n">
        <v>0.15</v>
      </c>
      <c r="O87" s="6" t="n">
        <v>0.885864918999995</v>
      </c>
      <c r="P87" s="6" t="n">
        <v>-0.0008826268975119723</v>
      </c>
      <c r="Q87" s="6" t="inlineStr"/>
      <c r="R87" s="6" t="n">
        <v>0</v>
      </c>
      <c r="S87" s="6" t="n">
        <v>0</v>
      </c>
      <c r="T87" s="6" t="n">
        <v>0</v>
      </c>
      <c r="U87" s="6" t="n">
        <v>0</v>
      </c>
      <c r="V87" s="6" t="n">
        <v>0</v>
      </c>
      <c r="W87" s="6" t="n">
        <v>0</v>
      </c>
      <c r="X87" s="9">
        <f>M87*(1-O87)*((1-B87)*N87-B87*'模型说明与假设'!$B$7-'模型说明与假设'!$B$8)</f>
        <v/>
      </c>
      <c r="Y87" s="6" t="b">
        <v>0</v>
      </c>
    </row>
    <row r="88">
      <c r="A88" s="6" t="inlineStr">
        <is>
          <t>E52</t>
        </is>
      </c>
      <c r="B88" s="6" t="n">
        <v>0.1771396348546799</v>
      </c>
      <c r="C88" s="6" t="inlineStr">
        <is>
          <t>B</t>
        </is>
      </c>
      <c r="D88" s="6" t="n">
        <v>0.673278766974721</v>
      </c>
      <c r="E88" s="6" t="n">
        <v>0.1001179487814422</v>
      </c>
      <c r="F88" s="6" t="n">
        <v>0.2063143814788196</v>
      </c>
      <c r="G88" s="6" t="n">
        <v>87</v>
      </c>
      <c r="H88" s="6" t="n">
        <v>59</v>
      </c>
      <c r="I88" s="6" t="inlineStr">
        <is>
          <t>***商贸有限公司</t>
        </is>
      </c>
      <c r="J88" s="6" t="inlineStr">
        <is>
          <t>D</t>
        </is>
      </c>
      <c r="K88" s="6" t="inlineStr">
        <is>
          <t>是</t>
        </is>
      </c>
      <c r="L88" s="6" t="b">
        <v>1</v>
      </c>
      <c r="M88" s="6" t="n">
        <v>0</v>
      </c>
      <c r="N88" s="6" t="n">
        <v>0</v>
      </c>
      <c r="O88" s="6" t="n">
        <v>0</v>
      </c>
      <c r="P88" s="6" t="n">
        <v>0</v>
      </c>
      <c r="Q88" s="6" t="inlineStr">
        <is>
          <t>银行原始D级</t>
        </is>
      </c>
      <c r="R88" s="6" t="n">
        <v>0</v>
      </c>
      <c r="S88" s="6" t="n">
        <v>0</v>
      </c>
      <c r="T88" s="6" t="n">
        <v>0</v>
      </c>
      <c r="U88" s="6" t="n">
        <v>0</v>
      </c>
      <c r="V88" s="6" t="n">
        <v>0</v>
      </c>
      <c r="W88" s="6" t="n">
        <v>0</v>
      </c>
      <c r="X88" s="9">
        <f>M88*(1-O88)*((1-B88)*N88-B88*'模型说明与假设'!$B$7-'模型说明与假设'!$B$8)</f>
        <v/>
      </c>
      <c r="Y88" s="6" t="b">
        <v>0</v>
      </c>
    </row>
    <row r="89">
      <c r="A89" s="6" t="inlineStr">
        <is>
          <t>E98</t>
        </is>
      </c>
      <c r="B89" s="6" t="n">
        <v>0.1955517111404142</v>
      </c>
      <c r="C89" s="6" t="inlineStr">
        <is>
          <t>B</t>
        </is>
      </c>
      <c r="D89" s="6" t="n">
        <v>0.6144097272020212</v>
      </c>
      <c r="E89" s="6" t="n">
        <v>0.1225781880219557</v>
      </c>
      <c r="F89" s="6" t="n">
        <v>0.1953193230653578</v>
      </c>
      <c r="G89" s="6" t="n">
        <v>88</v>
      </c>
      <c r="H89" s="6" t="n">
        <v>86</v>
      </c>
      <c r="I89" s="6" t="inlineStr">
        <is>
          <t>***文化传播有限公司</t>
        </is>
      </c>
      <c r="J89" s="6" t="inlineStr">
        <is>
          <t>B</t>
        </is>
      </c>
      <c r="K89" s="6" t="inlineStr">
        <is>
          <t>否</t>
        </is>
      </c>
      <c r="L89" s="6" t="b">
        <v>0</v>
      </c>
      <c r="M89" s="6" t="n">
        <v>0</v>
      </c>
      <c r="N89" s="6" t="n">
        <v>0.15</v>
      </c>
      <c r="O89" s="6" t="n">
        <v>0.885864918999995</v>
      </c>
      <c r="P89" s="6" t="n">
        <v>-0.002472597668024944</v>
      </c>
      <c r="Q89" s="6" t="inlineStr"/>
      <c r="R89" s="6" t="n">
        <v>0</v>
      </c>
      <c r="S89" s="6" t="n">
        <v>0</v>
      </c>
      <c r="T89" s="6" t="n">
        <v>0</v>
      </c>
      <c r="U89" s="6" t="n">
        <v>0</v>
      </c>
      <c r="V89" s="6" t="n">
        <v>0</v>
      </c>
      <c r="W89" s="6" t="n">
        <v>0</v>
      </c>
      <c r="X89" s="9">
        <f>M89*(1-O89)*((1-B89)*N89-B89*'模型说明与假设'!$B$7-'模型说明与假设'!$B$8)</f>
        <v/>
      </c>
      <c r="Y89" s="6" t="b">
        <v>0</v>
      </c>
    </row>
    <row r="90">
      <c r="A90" s="6" t="inlineStr">
        <is>
          <t>E94</t>
        </is>
      </c>
      <c r="B90" s="6" t="n">
        <v>0.2026080673659417</v>
      </c>
      <c r="C90" s="6" t="inlineStr">
        <is>
          <t>C</t>
        </is>
      </c>
      <c r="D90" s="6" t="n">
        <v>0.5824900705367672</v>
      </c>
      <c r="E90" s="6" t="n">
        <v>0.1380510440594944</v>
      </c>
      <c r="F90" s="6" t="n">
        <v>0.1926022753405454</v>
      </c>
      <c r="G90" s="6" t="n">
        <v>89</v>
      </c>
      <c r="H90" s="6" t="n">
        <v>94</v>
      </c>
      <c r="I90" s="6" t="inlineStr">
        <is>
          <t>***汽车美容有限公司</t>
        </is>
      </c>
      <c r="J90" s="6" t="inlineStr">
        <is>
          <t>C</t>
        </is>
      </c>
      <c r="K90" s="6" t="inlineStr">
        <is>
          <t>否</t>
        </is>
      </c>
      <c r="L90" s="6" t="b">
        <v>0</v>
      </c>
      <c r="M90" s="6" t="n">
        <v>0</v>
      </c>
      <c r="N90" s="6" t="n">
        <v>0.15</v>
      </c>
      <c r="O90" s="6" t="n">
        <v>0.8951647386620309</v>
      </c>
      <c r="P90" s="6" t="n">
        <v>-0.002825944601370868</v>
      </c>
      <c r="Q90" s="6" t="inlineStr"/>
      <c r="R90" s="6" t="n">
        <v>0</v>
      </c>
      <c r="S90" s="6" t="n">
        <v>0</v>
      </c>
      <c r="T90" s="6" t="n">
        <v>0</v>
      </c>
      <c r="U90" s="6" t="n">
        <v>0</v>
      </c>
      <c r="V90" s="6" t="n">
        <v>0</v>
      </c>
      <c r="W90" s="6" t="n">
        <v>0</v>
      </c>
      <c r="X90" s="9">
        <f>M90*(1-O90)*((1-B90)*N90-B90*'模型说明与假设'!$B$7-'模型说明与假设'!$B$8)</f>
        <v/>
      </c>
      <c r="Y90" s="6" t="b">
        <v>0</v>
      </c>
    </row>
    <row r="91">
      <c r="A91" s="6" t="inlineStr">
        <is>
          <t>E118</t>
        </is>
      </c>
      <c r="B91" s="6" t="n">
        <v>0.2157383656066151</v>
      </c>
      <c r="C91" s="6" t="inlineStr">
        <is>
          <t>C</t>
        </is>
      </c>
      <c r="D91" s="6" t="n">
        <v>0.5663014583065273</v>
      </c>
      <c r="E91" s="6" t="n">
        <v>0.145165183872763</v>
      </c>
      <c r="F91" s="6" t="n">
        <v>0.1895493007688804</v>
      </c>
      <c r="G91" s="6" t="n">
        <v>90</v>
      </c>
      <c r="H91" s="6" t="n">
        <v>101</v>
      </c>
      <c r="I91" s="6" t="inlineStr">
        <is>
          <t>***体育用品有限公司</t>
        </is>
      </c>
      <c r="J91" s="6" t="inlineStr">
        <is>
          <t>D</t>
        </is>
      </c>
      <c r="K91" s="6" t="inlineStr">
        <is>
          <t>是</t>
        </is>
      </c>
      <c r="L91" s="6" t="b">
        <v>1</v>
      </c>
      <c r="M91" s="6" t="n">
        <v>0</v>
      </c>
      <c r="N91" s="6" t="n">
        <v>0</v>
      </c>
      <c r="O91" s="6" t="n">
        <v>0</v>
      </c>
      <c r="P91" s="6" t="n">
        <v>0</v>
      </c>
      <c r="Q91" s="6" t="inlineStr">
        <is>
          <t>银行原始D级</t>
        </is>
      </c>
      <c r="R91" s="6" t="n">
        <v>0</v>
      </c>
      <c r="S91" s="6" t="n">
        <v>0</v>
      </c>
      <c r="T91" s="6" t="n">
        <v>0</v>
      </c>
      <c r="U91" s="6" t="n">
        <v>0</v>
      </c>
      <c r="V91" s="6" t="n">
        <v>0</v>
      </c>
      <c r="W91" s="6" t="n">
        <v>0</v>
      </c>
      <c r="X91" s="9">
        <f>M91*(1-O91)*((1-B91)*N91-B91*'模型说明与假设'!$B$7-'模型说明与假设'!$B$8)</f>
        <v/>
      </c>
      <c r="Y91" s="6" t="b">
        <v>0</v>
      </c>
    </row>
    <row r="92">
      <c r="A92" s="6" t="inlineStr">
        <is>
          <t>E90</t>
        </is>
      </c>
      <c r="B92" s="6" t="n">
        <v>0.2178251660076469</v>
      </c>
      <c r="C92" s="6" t="inlineStr">
        <is>
          <t>C</t>
        </is>
      </c>
      <c r="D92" s="6" t="n">
        <v>0.6550954409065499</v>
      </c>
      <c r="E92" s="6" t="n">
        <v>0.1076976055595107</v>
      </c>
      <c r="F92" s="6" t="n">
        <v>0.2045557489411777</v>
      </c>
      <c r="G92" s="6" t="n">
        <v>91</v>
      </c>
      <c r="H92" s="6" t="n">
        <v>70</v>
      </c>
      <c r="I92" s="6" t="inlineStr">
        <is>
          <t>***文化传媒有限责任公司</t>
        </is>
      </c>
      <c r="J92" s="6" t="inlineStr">
        <is>
          <t>C</t>
        </is>
      </c>
      <c r="K92" s="6" t="inlineStr">
        <is>
          <t>否</t>
        </is>
      </c>
      <c r="L92" s="6" t="b">
        <v>0</v>
      </c>
      <c r="M92" s="6" t="n">
        <v>0</v>
      </c>
      <c r="N92" s="6" t="n">
        <v>0.15</v>
      </c>
      <c r="O92" s="6" t="n">
        <v>0.8951647386620309</v>
      </c>
      <c r="P92" s="6" t="n">
        <v>-0.004022410986052486</v>
      </c>
      <c r="Q92" s="6" t="inlineStr"/>
      <c r="R92" s="6" t="n">
        <v>0</v>
      </c>
      <c r="S92" s="6" t="n">
        <v>0</v>
      </c>
      <c r="T92" s="6" t="n">
        <v>0</v>
      </c>
      <c r="U92" s="6" t="n">
        <v>0</v>
      </c>
      <c r="V92" s="6" t="n">
        <v>0</v>
      </c>
      <c r="W92" s="6" t="n">
        <v>0</v>
      </c>
      <c r="X92" s="9">
        <f>M92*(1-O92)*((1-B92)*N92-B92*'模型说明与假设'!$B$7-'模型说明与假设'!$B$8)</f>
        <v/>
      </c>
      <c r="Y92" s="6" t="b">
        <v>0</v>
      </c>
    </row>
    <row r="93">
      <c r="A93" s="6" t="inlineStr">
        <is>
          <t>E72</t>
        </is>
      </c>
      <c r="B93" s="6" t="n">
        <v>0.2376926091220818</v>
      </c>
      <c r="C93" s="6" t="inlineStr">
        <is>
          <t>C</t>
        </is>
      </c>
      <c r="D93" s="6" t="n">
        <v>0.624147594809881</v>
      </c>
      <c r="E93" s="6" t="n">
        <v>0.1187237726491071</v>
      </c>
      <c r="F93" s="6" t="n">
        <v>0.1971549366784349</v>
      </c>
      <c r="G93" s="6" t="n">
        <v>92</v>
      </c>
      <c r="H93" s="6" t="n">
        <v>84</v>
      </c>
      <c r="I93" s="6" t="inlineStr">
        <is>
          <t>***图书有限公司</t>
        </is>
      </c>
      <c r="J93" s="6" t="inlineStr">
        <is>
          <t>C</t>
        </is>
      </c>
      <c r="K93" s="6" t="inlineStr">
        <is>
          <t>否</t>
        </is>
      </c>
      <c r="L93" s="6" t="b">
        <v>0</v>
      </c>
      <c r="M93" s="6" t="n">
        <v>0</v>
      </c>
      <c r="N93" s="6" t="n">
        <v>0.15</v>
      </c>
      <c r="O93" s="6" t="n">
        <v>0.8951647386620309</v>
      </c>
      <c r="P93" s="6" t="n">
        <v>-0.005584517429316753</v>
      </c>
      <c r="Q93" s="6" t="inlineStr"/>
      <c r="R93" s="6" t="n">
        <v>0</v>
      </c>
      <c r="S93" s="6" t="n">
        <v>0</v>
      </c>
      <c r="T93" s="6" t="n">
        <v>0</v>
      </c>
      <c r="U93" s="6" t="n">
        <v>0</v>
      </c>
      <c r="V93" s="6" t="n">
        <v>0</v>
      </c>
      <c r="W93" s="6" t="n">
        <v>0</v>
      </c>
      <c r="X93" s="9">
        <f>M93*(1-O93)*((1-B93)*N93-B93*'模型说明与假设'!$B$7-'模型说明与假设'!$B$8)</f>
        <v/>
      </c>
      <c r="Y93" s="6" t="b">
        <v>0</v>
      </c>
    </row>
    <row r="94">
      <c r="A94" s="6" t="inlineStr">
        <is>
          <t>E100</t>
        </is>
      </c>
      <c r="B94" s="6" t="n">
        <v>0.248856706749246</v>
      </c>
      <c r="C94" s="6" t="inlineStr">
        <is>
          <t>C</t>
        </is>
      </c>
      <c r="D94" s="6" t="n">
        <v>0.5891619535002325</v>
      </c>
      <c r="E94" s="6" t="n">
        <v>0.1368329385757372</v>
      </c>
      <c r="F94" s="6" t="n">
        <v>0.1962251599658121</v>
      </c>
      <c r="G94" s="6" t="n">
        <v>93</v>
      </c>
      <c r="H94" s="6" t="n">
        <v>92</v>
      </c>
      <c r="I94" s="6" t="inlineStr">
        <is>
          <t>***装饰工程有限公司</t>
        </is>
      </c>
      <c r="J94" s="6" t="inlineStr">
        <is>
          <t>D</t>
        </is>
      </c>
      <c r="K94" s="6" t="inlineStr">
        <is>
          <t>是</t>
        </is>
      </c>
      <c r="L94" s="6" t="b">
        <v>1</v>
      </c>
      <c r="M94" s="6" t="n">
        <v>0</v>
      </c>
      <c r="N94" s="6" t="n">
        <v>0</v>
      </c>
      <c r="O94" s="6" t="n">
        <v>0</v>
      </c>
      <c r="P94" s="6" t="n">
        <v>0</v>
      </c>
      <c r="Q94" s="6" t="inlineStr">
        <is>
          <t>银行原始D级</t>
        </is>
      </c>
      <c r="R94" s="6" t="n">
        <v>0</v>
      </c>
      <c r="S94" s="6" t="n">
        <v>0</v>
      </c>
      <c r="T94" s="6" t="n">
        <v>0</v>
      </c>
      <c r="U94" s="6" t="n">
        <v>0</v>
      </c>
      <c r="V94" s="6" t="n">
        <v>0</v>
      </c>
      <c r="W94" s="6" t="n">
        <v>0</v>
      </c>
      <c r="X94" s="9">
        <f>M94*(1-O94)*((1-B94)*N94-B94*'模型说明与假设'!$B$7-'模型说明与假设'!$B$8)</f>
        <v/>
      </c>
      <c r="Y94" s="6" t="b">
        <v>0</v>
      </c>
    </row>
    <row r="95">
      <c r="A95" s="6" t="inlineStr">
        <is>
          <t>E79</t>
        </is>
      </c>
      <c r="B95" s="6" t="n">
        <v>0.2491498296308577</v>
      </c>
      <c r="C95" s="6" t="inlineStr">
        <is>
          <t>C</t>
        </is>
      </c>
      <c r="D95" s="6" t="n">
        <v>0.6376639307598466</v>
      </c>
      <c r="E95" s="6" t="n">
        <v>0.1144182249346936</v>
      </c>
      <c r="F95" s="6" t="n">
        <v>0.2013610602318023</v>
      </c>
      <c r="G95" s="6" t="n">
        <v>94</v>
      </c>
      <c r="H95" s="6" t="n">
        <v>80</v>
      </c>
      <c r="I95" s="6" t="inlineStr">
        <is>
          <t>***鞋业有限公司</t>
        </is>
      </c>
      <c r="J95" s="6" t="inlineStr">
        <is>
          <t>B</t>
        </is>
      </c>
      <c r="K95" s="6" t="inlineStr">
        <is>
          <t>否</t>
        </is>
      </c>
      <c r="L95" s="6" t="b">
        <v>0</v>
      </c>
      <c r="M95" s="6" t="n">
        <v>0</v>
      </c>
      <c r="N95" s="6" t="n">
        <v>0.15</v>
      </c>
      <c r="O95" s="6" t="n">
        <v>0.8951647386620309</v>
      </c>
      <c r="P95" s="6" t="n">
        <v>-0.006485357958999944</v>
      </c>
      <c r="Q95" s="6" t="inlineStr"/>
      <c r="R95" s="6" t="n">
        <v>0</v>
      </c>
      <c r="S95" s="6" t="n">
        <v>0</v>
      </c>
      <c r="T95" s="6" t="n">
        <v>0</v>
      </c>
      <c r="U95" s="6" t="n">
        <v>0</v>
      </c>
      <c r="V95" s="6" t="n">
        <v>0</v>
      </c>
      <c r="W95" s="6" t="n">
        <v>0</v>
      </c>
      <c r="X95" s="9">
        <f>M95*(1-O95)*((1-B95)*N95-B95*'模型说明与假设'!$B$7-'模型说明与假设'!$B$8)</f>
        <v/>
      </c>
      <c r="Y95" s="6" t="b">
        <v>0</v>
      </c>
    </row>
    <row r="96">
      <c r="A96" s="6" t="inlineStr">
        <is>
          <t>E55</t>
        </is>
      </c>
      <c r="B96" s="6" t="n">
        <v>0.2543112215065777</v>
      </c>
      <c r="C96" s="6" t="inlineStr">
        <is>
          <t>C</t>
        </is>
      </c>
      <c r="D96" s="6" t="n">
        <v>0.6408266829299979</v>
      </c>
      <c r="E96" s="6" t="n">
        <v>0.1124934391018443</v>
      </c>
      <c r="F96" s="6" t="n">
        <v>0.2007075526074579</v>
      </c>
      <c r="G96" s="6" t="n">
        <v>95</v>
      </c>
      <c r="H96" s="6" t="n">
        <v>77</v>
      </c>
      <c r="I96" s="6" t="inlineStr">
        <is>
          <t>***集团有限公司***电力设备分公司</t>
        </is>
      </c>
      <c r="J96" s="6" t="inlineStr">
        <is>
          <t>C</t>
        </is>
      </c>
      <c r="K96" s="6" t="inlineStr">
        <is>
          <t>否</t>
        </is>
      </c>
      <c r="L96" s="6" t="b">
        <v>0</v>
      </c>
      <c r="M96" s="6" t="n">
        <v>0</v>
      </c>
      <c r="N96" s="6" t="n">
        <v>0.15</v>
      </c>
      <c r="O96" s="6" t="n">
        <v>0.8951647386620309</v>
      </c>
      <c r="P96" s="6" t="n">
        <v>-0.006891179858619026</v>
      </c>
      <c r="Q96" s="6" t="inlineStr"/>
      <c r="R96" s="6" t="n">
        <v>0</v>
      </c>
      <c r="S96" s="6" t="n">
        <v>0</v>
      </c>
      <c r="T96" s="6" t="n">
        <v>0</v>
      </c>
      <c r="U96" s="6" t="n">
        <v>0</v>
      </c>
      <c r="V96" s="6" t="n">
        <v>0</v>
      </c>
      <c r="W96" s="6" t="n">
        <v>0</v>
      </c>
      <c r="X96" s="9">
        <f>M96*(1-O96)*((1-B96)*N96-B96*'模型说明与假设'!$B$7-'模型说明与假设'!$B$8)</f>
        <v/>
      </c>
      <c r="Y96" s="6" t="b">
        <v>0</v>
      </c>
    </row>
    <row r="97">
      <c r="A97" s="6" t="inlineStr">
        <is>
          <t>E104</t>
        </is>
      </c>
      <c r="B97" s="6" t="n">
        <v>0.2793514321136163</v>
      </c>
      <c r="C97" s="6" t="inlineStr">
        <is>
          <t>C</t>
        </is>
      </c>
      <c r="D97" s="6" t="n">
        <v>0.5526138111534099</v>
      </c>
      <c r="E97" s="6" t="n">
        <v>0.1496082307359367</v>
      </c>
      <c r="F97" s="6" t="n">
        <v>0.1847968860640318</v>
      </c>
      <c r="G97" s="6" t="n">
        <v>96</v>
      </c>
      <c r="H97" s="6" t="n">
        <v>106</v>
      </c>
      <c r="I97" s="6" t="inlineStr">
        <is>
          <t>***管理咨询有限责任公司</t>
        </is>
      </c>
      <c r="J97" s="6" t="inlineStr">
        <is>
          <t>C</t>
        </is>
      </c>
      <c r="K97" s="6" t="inlineStr">
        <is>
          <t>否</t>
        </is>
      </c>
      <c r="L97" s="6" t="b">
        <v>0</v>
      </c>
      <c r="M97" s="6" t="n">
        <v>0</v>
      </c>
      <c r="N97" s="6" t="n">
        <v>0.15</v>
      </c>
      <c r="O97" s="6" t="n">
        <v>0.8951647386620309</v>
      </c>
      <c r="P97" s="6" t="n">
        <v>-0.008860002625829033</v>
      </c>
      <c r="Q97" s="6" t="inlineStr"/>
      <c r="R97" s="6" t="n">
        <v>0</v>
      </c>
      <c r="S97" s="6" t="n">
        <v>0</v>
      </c>
      <c r="T97" s="6" t="n">
        <v>0</v>
      </c>
      <c r="U97" s="6" t="n">
        <v>0</v>
      </c>
      <c r="V97" s="6" t="n">
        <v>0</v>
      </c>
      <c r="W97" s="6" t="n">
        <v>0</v>
      </c>
      <c r="X97" s="9">
        <f>M97*(1-O97)*((1-B97)*N97-B97*'模型说明与假设'!$B$7-'模型说明与假设'!$B$8)</f>
        <v/>
      </c>
      <c r="Y97" s="6" t="b">
        <v>0</v>
      </c>
    </row>
    <row r="98">
      <c r="A98" s="6" t="inlineStr">
        <is>
          <t>E80</t>
        </is>
      </c>
      <c r="B98" s="6" t="n">
        <v>0.2942577582990666</v>
      </c>
      <c r="C98" s="6" t="inlineStr">
        <is>
          <t>C</t>
        </is>
      </c>
      <c r="D98" s="6" t="n">
        <v>0.6309665824714098</v>
      </c>
      <c r="E98" s="6" t="n">
        <v>0.1166307327068551</v>
      </c>
      <c r="F98" s="6" t="n">
        <v>0.1994130919633575</v>
      </c>
      <c r="G98" s="6" t="n">
        <v>97</v>
      </c>
      <c r="H98" s="6" t="n">
        <v>83</v>
      </c>
      <c r="I98" s="6" t="inlineStr">
        <is>
          <t>***实业有限责任公司</t>
        </is>
      </c>
      <c r="J98" s="6" t="inlineStr">
        <is>
          <t>C</t>
        </is>
      </c>
      <c r="K98" s="6" t="inlineStr">
        <is>
          <t>否</t>
        </is>
      </c>
      <c r="L98" s="6" t="b">
        <v>0</v>
      </c>
      <c r="M98" s="6" t="n">
        <v>0</v>
      </c>
      <c r="N98" s="6" t="n">
        <v>0.15</v>
      </c>
      <c r="O98" s="6" t="n">
        <v>0.8951647386620309</v>
      </c>
      <c r="P98" s="6" t="n">
        <v>-0.01003203407675956</v>
      </c>
      <c r="Q98" s="6" t="inlineStr"/>
      <c r="R98" s="6" t="n">
        <v>0</v>
      </c>
      <c r="S98" s="6" t="n">
        <v>0</v>
      </c>
      <c r="T98" s="6" t="n">
        <v>0</v>
      </c>
      <c r="U98" s="6" t="n">
        <v>0</v>
      </c>
      <c r="V98" s="6" t="n">
        <v>0</v>
      </c>
      <c r="W98" s="6" t="n">
        <v>0</v>
      </c>
      <c r="X98" s="9">
        <f>M98*(1-O98)*((1-B98)*N98-B98*'模型说明与假设'!$B$7-'模型说明与假设'!$B$8)</f>
        <v/>
      </c>
      <c r="Y98" s="6" t="b">
        <v>0</v>
      </c>
    </row>
    <row r="99">
      <c r="A99" s="6" t="inlineStr">
        <is>
          <t>E122</t>
        </is>
      </c>
      <c r="B99" s="6" t="n">
        <v>0.309328310608436</v>
      </c>
      <c r="C99" s="6" t="inlineStr">
        <is>
          <t>C</t>
        </is>
      </c>
      <c r="D99" s="6" t="n">
        <v>0.518980294657817</v>
      </c>
      <c r="E99" s="6" t="n">
        <v>0.1575079466070636</v>
      </c>
      <c r="F99" s="6" t="n">
        <v>0.1699379872243107</v>
      </c>
      <c r="G99" s="6" t="n">
        <v>98</v>
      </c>
      <c r="H99" s="6" t="n">
        <v>111</v>
      </c>
      <c r="I99" s="6" t="inlineStr">
        <is>
          <t>***商贸有限责任公司</t>
        </is>
      </c>
      <c r="J99" s="6" t="inlineStr">
        <is>
          <t>D</t>
        </is>
      </c>
      <c r="K99" s="6" t="inlineStr">
        <is>
          <t>是</t>
        </is>
      </c>
      <c r="L99" s="6" t="b">
        <v>1</v>
      </c>
      <c r="M99" s="6" t="n">
        <v>0</v>
      </c>
      <c r="N99" s="6" t="n">
        <v>0</v>
      </c>
      <c r="O99" s="6" t="n">
        <v>0</v>
      </c>
      <c r="P99" s="6" t="n">
        <v>0</v>
      </c>
      <c r="Q99" s="6" t="inlineStr">
        <is>
          <t>银行原始D级</t>
        </is>
      </c>
      <c r="R99" s="6" t="n">
        <v>0</v>
      </c>
      <c r="S99" s="6" t="n">
        <v>0</v>
      </c>
      <c r="T99" s="6" t="n">
        <v>0</v>
      </c>
      <c r="U99" s="6" t="n">
        <v>0</v>
      </c>
      <c r="V99" s="6" t="n">
        <v>0</v>
      </c>
      <c r="W99" s="6" t="n">
        <v>0</v>
      </c>
      <c r="X99" s="9">
        <f>M99*(1-O99)*((1-B99)*N99-B99*'模型说明与假设'!$B$7-'模型说明与假设'!$B$8)</f>
        <v/>
      </c>
      <c r="Y99" s="6" t="b">
        <v>0</v>
      </c>
    </row>
    <row r="100">
      <c r="A100" s="6" t="inlineStr">
        <is>
          <t>E92</t>
        </is>
      </c>
      <c r="B100" s="6" t="n">
        <v>0.3399330940419034</v>
      </c>
      <c r="C100" s="6" t="inlineStr">
        <is>
          <t>C</t>
        </is>
      </c>
      <c r="D100" s="6" t="n">
        <v>0.6366387730242842</v>
      </c>
      <c r="E100" s="6" t="n">
        <v>0.1170234535293509</v>
      </c>
      <c r="F100" s="6" t="n">
        <v>0.2050347212058742</v>
      </c>
      <c r="G100" s="6" t="n">
        <v>99</v>
      </c>
      <c r="H100" s="6" t="n">
        <v>82</v>
      </c>
      <c r="I100" s="6" t="inlineStr">
        <is>
          <t>***地质灾害防治有限公司</t>
        </is>
      </c>
      <c r="J100" s="6" t="inlineStr">
        <is>
          <t>C</t>
        </is>
      </c>
      <c r="K100" s="6" t="inlineStr">
        <is>
          <t>否</t>
        </is>
      </c>
      <c r="L100" s="6" t="b">
        <v>0</v>
      </c>
      <c r="M100" s="6" t="n">
        <v>0</v>
      </c>
      <c r="N100" s="6" t="n">
        <v>0.15</v>
      </c>
      <c r="O100" s="6" t="n">
        <v>0.8951647386620309</v>
      </c>
      <c r="P100" s="6" t="n">
        <v>-0.01362332339623438</v>
      </c>
      <c r="Q100" s="6" t="inlineStr"/>
      <c r="R100" s="6" t="n">
        <v>0</v>
      </c>
      <c r="S100" s="6" t="n">
        <v>0</v>
      </c>
      <c r="T100" s="6" t="n">
        <v>0</v>
      </c>
      <c r="U100" s="6" t="n">
        <v>0</v>
      </c>
      <c r="V100" s="6" t="n">
        <v>0</v>
      </c>
      <c r="W100" s="6" t="n">
        <v>0</v>
      </c>
      <c r="X100" s="9">
        <f>M100*(1-O100)*((1-B100)*N100-B100*'模型说明与假设'!$B$7-'模型说明与假设'!$B$8)</f>
        <v/>
      </c>
      <c r="Y100" s="6" t="b">
        <v>0</v>
      </c>
    </row>
    <row r="101">
      <c r="A101" s="6" t="inlineStr">
        <is>
          <t>E89</t>
        </is>
      </c>
      <c r="B101" s="6" t="n">
        <v>0.3506010919416814</v>
      </c>
      <c r="C101" s="6" t="inlineStr">
        <is>
          <t>C</t>
        </is>
      </c>
      <c r="D101" s="6" t="n">
        <v>0.4467540417135236</v>
      </c>
      <c r="E101" s="6" t="n">
        <v>0.179606352817784</v>
      </c>
      <c r="F101" s="6" t="n">
        <v>0.14503470443289</v>
      </c>
      <c r="G101" s="6" t="n">
        <v>100</v>
      </c>
      <c r="H101" s="6" t="n">
        <v>117</v>
      </c>
      <c r="I101" s="6" t="inlineStr">
        <is>
          <t>***物资有限公司</t>
        </is>
      </c>
      <c r="J101" s="6" t="inlineStr">
        <is>
          <t>A</t>
        </is>
      </c>
      <c r="K101" s="6" t="inlineStr">
        <is>
          <t>否</t>
        </is>
      </c>
      <c r="L101" s="6" t="b">
        <v>0</v>
      </c>
      <c r="M101" s="6" t="n">
        <v>0</v>
      </c>
      <c r="N101" s="6" t="n">
        <v>0.15</v>
      </c>
      <c r="O101" s="6" t="n">
        <v>0.8951647386620309</v>
      </c>
      <c r="P101" s="6" t="n">
        <v>-0.01446211015706649</v>
      </c>
      <c r="Q101" s="6" t="inlineStr"/>
      <c r="R101" s="6" t="n">
        <v>0</v>
      </c>
      <c r="S101" s="6" t="n">
        <v>0</v>
      </c>
      <c r="T101" s="6" t="n">
        <v>0</v>
      </c>
      <c r="U101" s="6" t="n">
        <v>0</v>
      </c>
      <c r="V101" s="6" t="n">
        <v>0</v>
      </c>
      <c r="W101" s="6" t="n">
        <v>0</v>
      </c>
      <c r="X101" s="9">
        <f>M101*(1-O101)*((1-B101)*N101-B101*'模型说明与假设'!$B$7-'模型说明与假设'!$B$8)</f>
        <v/>
      </c>
      <c r="Y101" s="6" t="b">
        <v>0</v>
      </c>
    </row>
    <row r="102">
      <c r="A102" s="6" t="inlineStr">
        <is>
          <t>E116</t>
        </is>
      </c>
      <c r="B102" s="6" t="n">
        <v>0.3687128117376127</v>
      </c>
      <c r="C102" s="6" t="inlineStr">
        <is>
          <t>C</t>
        </is>
      </c>
      <c r="D102" s="6" t="n">
        <v>0.5758763440662722</v>
      </c>
      <c r="E102" s="6" t="n">
        <v>0.1412643917289679</v>
      </c>
      <c r="F102" s="6" t="n">
        <v>0.1918092054462895</v>
      </c>
      <c r="G102" s="6" t="n">
        <v>101</v>
      </c>
      <c r="H102" s="6" t="n">
        <v>98</v>
      </c>
      <c r="I102" s="6" t="inlineStr">
        <is>
          <t>***门窗有限公司</t>
        </is>
      </c>
      <c r="J102" s="6" t="inlineStr">
        <is>
          <t>D</t>
        </is>
      </c>
      <c r="K102" s="6" t="inlineStr">
        <is>
          <t>是</t>
        </is>
      </c>
      <c r="L102" s="6" t="b">
        <v>1</v>
      </c>
      <c r="M102" s="6" t="n">
        <v>0</v>
      </c>
      <c r="N102" s="6" t="n">
        <v>0</v>
      </c>
      <c r="O102" s="6" t="n">
        <v>0</v>
      </c>
      <c r="P102" s="6" t="n">
        <v>0</v>
      </c>
      <c r="Q102" s="6" t="inlineStr">
        <is>
          <t>银行原始D级</t>
        </is>
      </c>
      <c r="R102" s="6" t="n">
        <v>0</v>
      </c>
      <c r="S102" s="6" t="n">
        <v>0</v>
      </c>
      <c r="T102" s="6" t="n">
        <v>0</v>
      </c>
      <c r="U102" s="6" t="n">
        <v>0</v>
      </c>
      <c r="V102" s="6" t="n">
        <v>0</v>
      </c>
      <c r="W102" s="6" t="n">
        <v>0</v>
      </c>
      <c r="X102" s="9">
        <f>M102*(1-O102)*((1-B102)*N102-B102*'模型说明与假设'!$B$7-'模型说明与假设'!$B$8)</f>
        <v/>
      </c>
      <c r="Y102" s="6" t="b">
        <v>0</v>
      </c>
    </row>
    <row r="103">
      <c r="A103" s="6" t="inlineStr">
        <is>
          <t>E68</t>
        </is>
      </c>
      <c r="B103" s="6" t="n">
        <v>0.3700553684039201</v>
      </c>
      <c r="C103" s="6" t="inlineStr">
        <is>
          <t>C</t>
        </is>
      </c>
      <c r="D103" s="6" t="n">
        <v>0.5586150846207694</v>
      </c>
      <c r="E103" s="6" t="n">
        <v>0.1529399436514969</v>
      </c>
      <c r="F103" s="6" t="n">
        <v>0.1935602160109452</v>
      </c>
      <c r="G103" s="6" t="n">
        <v>102</v>
      </c>
      <c r="H103" s="6" t="n">
        <v>102</v>
      </c>
      <c r="I103" s="6" t="inlineStr">
        <is>
          <t>***花木总公司</t>
        </is>
      </c>
      <c r="J103" s="6" t="inlineStr">
        <is>
          <t>C</t>
        </is>
      </c>
      <c r="K103" s="6" t="inlineStr">
        <is>
          <t>否</t>
        </is>
      </c>
      <c r="L103" s="6" t="b">
        <v>0</v>
      </c>
      <c r="M103" s="6" t="n">
        <v>0</v>
      </c>
      <c r="N103" s="6" t="n">
        <v>0.15</v>
      </c>
      <c r="O103" s="6" t="n">
        <v>0.8951647386620309</v>
      </c>
      <c r="P103" s="6" t="n">
        <v>-0.0159917307748614</v>
      </c>
      <c r="Q103" s="6" t="inlineStr"/>
      <c r="R103" s="6" t="n">
        <v>0</v>
      </c>
      <c r="S103" s="6" t="n">
        <v>0</v>
      </c>
      <c r="T103" s="6" t="n">
        <v>0</v>
      </c>
      <c r="U103" s="6" t="n">
        <v>0</v>
      </c>
      <c r="V103" s="6" t="n">
        <v>0</v>
      </c>
      <c r="W103" s="6" t="n">
        <v>0</v>
      </c>
      <c r="X103" s="9">
        <f>M103*(1-O103)*((1-B103)*N103-B103*'模型说明与假设'!$B$7-'模型说明与假设'!$B$8)</f>
        <v/>
      </c>
      <c r="Y103" s="6" t="b">
        <v>0</v>
      </c>
    </row>
    <row r="104">
      <c r="A104" s="6" t="inlineStr">
        <is>
          <t>E77</t>
        </is>
      </c>
      <c r="B104" s="6" t="n">
        <v>0.3862075978446685</v>
      </c>
      <c r="C104" s="6" t="inlineStr">
        <is>
          <t>C</t>
        </is>
      </c>
      <c r="D104" s="6" t="n">
        <v>0.5778265698625462</v>
      </c>
      <c r="E104" s="6" t="n">
        <v>0.1402113215262344</v>
      </c>
      <c r="F104" s="6" t="n">
        <v>0.1919065037963671</v>
      </c>
      <c r="G104" s="6" t="n">
        <v>103</v>
      </c>
      <c r="H104" s="6" t="n">
        <v>97</v>
      </c>
      <c r="I104" s="6" t="inlineStr">
        <is>
          <t>***机电设备有限公司</t>
        </is>
      </c>
      <c r="J104" s="6" t="inlineStr">
        <is>
          <t>C</t>
        </is>
      </c>
      <c r="K104" s="6" t="inlineStr">
        <is>
          <t>否</t>
        </is>
      </c>
      <c r="L104" s="6" t="b">
        <v>0</v>
      </c>
      <c r="M104" s="6" t="n">
        <v>0</v>
      </c>
      <c r="N104" s="6" t="n">
        <v>0.15</v>
      </c>
      <c r="O104" s="6" t="n">
        <v>0.8951647386620309</v>
      </c>
      <c r="P104" s="6" t="n">
        <v>-0.01726172317082017</v>
      </c>
      <c r="Q104" s="6" t="inlineStr"/>
      <c r="R104" s="6" t="n">
        <v>0</v>
      </c>
      <c r="S104" s="6" t="n">
        <v>0</v>
      </c>
      <c r="T104" s="6" t="n">
        <v>0</v>
      </c>
      <c r="U104" s="6" t="n">
        <v>0</v>
      </c>
      <c r="V104" s="6" t="n">
        <v>0</v>
      </c>
      <c r="W104" s="6" t="n">
        <v>0</v>
      </c>
      <c r="X104" s="9">
        <f>M104*(1-O104)*((1-B104)*N104-B104*'模型说明与假设'!$B$7-'模型说明与假设'!$B$8)</f>
        <v/>
      </c>
      <c r="Y104" s="6" t="b">
        <v>0</v>
      </c>
    </row>
    <row r="105">
      <c r="A105" s="6" t="inlineStr">
        <is>
          <t>E108</t>
        </is>
      </c>
      <c r="B105" s="6" t="n">
        <v>0.4093690278480955</v>
      </c>
      <c r="C105" s="6" t="inlineStr">
        <is>
          <t>D</t>
        </is>
      </c>
      <c r="D105" s="6" t="n">
        <v>0.5805690477738464</v>
      </c>
      <c r="E105" s="6" t="n">
        <v>0.1382986991357058</v>
      </c>
      <c r="F105" s="6" t="n">
        <v>0.1914306601347</v>
      </c>
      <c r="G105" s="6" t="n">
        <v>104</v>
      </c>
      <c r="H105" s="6" t="n">
        <v>95</v>
      </c>
      <c r="I105" s="6" t="inlineStr">
        <is>
          <t>***商贸有限公司</t>
        </is>
      </c>
      <c r="J105" s="6" t="inlineStr">
        <is>
          <t>D</t>
        </is>
      </c>
      <c r="K105" s="6" t="inlineStr">
        <is>
          <t>是</t>
        </is>
      </c>
      <c r="L105" s="6" t="b">
        <v>1</v>
      </c>
      <c r="M105" s="6" t="n">
        <v>0</v>
      </c>
      <c r="N105" s="6" t="n">
        <v>0</v>
      </c>
      <c r="O105" s="6" t="n">
        <v>0</v>
      </c>
      <c r="P105" s="6" t="n">
        <v>0</v>
      </c>
      <c r="Q105" s="6" t="inlineStr">
        <is>
          <t>银行原始D级且预测D级</t>
        </is>
      </c>
      <c r="R105" s="6" t="n">
        <v>0</v>
      </c>
      <c r="S105" s="6" t="n">
        <v>0</v>
      </c>
      <c r="T105" s="6" t="n">
        <v>0</v>
      </c>
      <c r="U105" s="6" t="n">
        <v>0</v>
      </c>
      <c r="V105" s="6" t="n">
        <v>0</v>
      </c>
      <c r="W105" s="6" t="n">
        <v>0</v>
      </c>
      <c r="X105" s="9">
        <f>M105*(1-O105)*((1-B105)*N105-B105*'模型说明与假设'!$B$7-'模型说明与假设'!$B$8)</f>
        <v/>
      </c>
      <c r="Y105" s="6" t="b">
        <v>0</v>
      </c>
    </row>
    <row r="106">
      <c r="A106" s="6" t="inlineStr">
        <is>
          <t>E112</t>
        </is>
      </c>
      <c r="B106" s="6" t="n">
        <v>0.4141127412639321</v>
      </c>
      <c r="C106" s="6" t="inlineStr">
        <is>
          <t>D</t>
        </is>
      </c>
      <c r="D106" s="6" t="n">
        <v>0.5530611260841314</v>
      </c>
      <c r="E106" s="6" t="n">
        <v>0.1448258152782438</v>
      </c>
      <c r="F106" s="6" t="n">
        <v>0.1792136087471224</v>
      </c>
      <c r="G106" s="6" t="n">
        <v>105</v>
      </c>
      <c r="H106" s="6" t="n">
        <v>105</v>
      </c>
      <c r="I106" s="6" t="inlineStr">
        <is>
          <t>***机械设备有限公司</t>
        </is>
      </c>
      <c r="J106" s="6" t="inlineStr">
        <is>
          <t>D</t>
        </is>
      </c>
      <c r="K106" s="6" t="inlineStr">
        <is>
          <t>是</t>
        </is>
      </c>
      <c r="L106" s="6" t="b">
        <v>1</v>
      </c>
      <c r="M106" s="6" t="n">
        <v>0</v>
      </c>
      <c r="N106" s="6" t="n">
        <v>0</v>
      </c>
      <c r="O106" s="6" t="n">
        <v>0</v>
      </c>
      <c r="P106" s="6" t="n">
        <v>0</v>
      </c>
      <c r="Q106" s="6" t="inlineStr">
        <is>
          <t>银行原始D级且预测D级</t>
        </is>
      </c>
      <c r="R106" s="6" t="n">
        <v>0</v>
      </c>
      <c r="S106" s="6" t="n">
        <v>0</v>
      </c>
      <c r="T106" s="6" t="n">
        <v>0</v>
      </c>
      <c r="U106" s="6" t="n">
        <v>0</v>
      </c>
      <c r="V106" s="6" t="n">
        <v>0</v>
      </c>
      <c r="W106" s="6" t="n">
        <v>0</v>
      </c>
      <c r="X106" s="9">
        <f>M106*(1-O106)*((1-B106)*N106-B106*'模型说明与假设'!$B$7-'模型说明与假设'!$B$8)</f>
        <v/>
      </c>
      <c r="Y106" s="6" t="b">
        <v>0</v>
      </c>
    </row>
    <row r="107">
      <c r="A107" s="6" t="inlineStr">
        <is>
          <t>E110</t>
        </is>
      </c>
      <c r="B107" s="6" t="n">
        <v>0.4313199032652147</v>
      </c>
      <c r="C107" s="6" t="inlineStr">
        <is>
          <t>D</t>
        </is>
      </c>
      <c r="D107" s="6" t="n">
        <v>0.5549401001161799</v>
      </c>
      <c r="E107" s="6" t="n">
        <v>0.1518099027722203</v>
      </c>
      <c r="F107" s="6" t="n">
        <v>0.1892900318924153</v>
      </c>
      <c r="G107" s="6" t="n">
        <v>106</v>
      </c>
      <c r="H107" s="6" t="n">
        <v>103</v>
      </c>
      <c r="I107" s="6" t="inlineStr">
        <is>
          <t>***通讯器材经营部</t>
        </is>
      </c>
      <c r="J107" s="6" t="inlineStr">
        <is>
          <t>C</t>
        </is>
      </c>
      <c r="K107" s="6" t="inlineStr">
        <is>
          <t>否</t>
        </is>
      </c>
      <c r="L107" s="6" t="b">
        <v>1</v>
      </c>
      <c r="M107" s="6" t="n">
        <v>0</v>
      </c>
      <c r="N107" s="6" t="n">
        <v>0</v>
      </c>
      <c r="O107" s="6" t="n">
        <v>0</v>
      </c>
      <c r="P107" s="6" t="n">
        <v>0</v>
      </c>
      <c r="Q107" s="6" t="inlineStr">
        <is>
          <t>预测D级</t>
        </is>
      </c>
      <c r="R107" s="6" t="n">
        <v>0</v>
      </c>
      <c r="S107" s="6" t="n">
        <v>0</v>
      </c>
      <c r="T107" s="6" t="n">
        <v>0</v>
      </c>
      <c r="U107" s="6" t="n">
        <v>0</v>
      </c>
      <c r="V107" s="6" t="n">
        <v>0</v>
      </c>
      <c r="W107" s="6" t="n">
        <v>0</v>
      </c>
      <c r="X107" s="9">
        <f>M107*(1-O107)*((1-B107)*N107-B107*'模型说明与假设'!$B$7-'模型说明与假设'!$B$8)</f>
        <v/>
      </c>
      <c r="Y107" s="6" t="b">
        <v>0</v>
      </c>
    </row>
    <row r="108">
      <c r="A108" s="6" t="inlineStr">
        <is>
          <t>E83</t>
        </is>
      </c>
      <c r="B108" s="6" t="n">
        <v>0.4326998758792323</v>
      </c>
      <c r="C108" s="6" t="inlineStr">
        <is>
          <t>D</t>
        </is>
      </c>
      <c r="D108" s="6" t="n">
        <v>0.4547252633279186</v>
      </c>
      <c r="E108" s="6" t="n">
        <v>0.1896752009657657</v>
      </c>
      <c r="F108" s="6" t="n">
        <v>0.1581773368638623</v>
      </c>
      <c r="G108" s="6" t="n">
        <v>107</v>
      </c>
      <c r="H108" s="6" t="n">
        <v>115</v>
      </c>
      <c r="I108" s="6" t="inlineStr">
        <is>
          <t>***社会福利院（***社会福利社会化服务中心）</t>
        </is>
      </c>
      <c r="J108" s="6" t="inlineStr">
        <is>
          <t>B</t>
        </is>
      </c>
      <c r="K108" s="6" t="inlineStr">
        <is>
          <t>否</t>
        </is>
      </c>
      <c r="L108" s="6" t="b">
        <v>1</v>
      </c>
      <c r="M108" s="6" t="n">
        <v>0</v>
      </c>
      <c r="N108" s="6" t="n">
        <v>0</v>
      </c>
      <c r="O108" s="6" t="n">
        <v>0</v>
      </c>
      <c r="P108" s="6" t="n">
        <v>0</v>
      </c>
      <c r="Q108" s="6" t="inlineStr">
        <is>
          <t>预测D级</t>
        </is>
      </c>
      <c r="R108" s="6" t="n">
        <v>0</v>
      </c>
      <c r="S108" s="6" t="n">
        <v>0</v>
      </c>
      <c r="T108" s="6" t="n">
        <v>0</v>
      </c>
      <c r="U108" s="6" t="n">
        <v>0</v>
      </c>
      <c r="V108" s="6" t="n">
        <v>0</v>
      </c>
      <c r="W108" s="6" t="n">
        <v>0</v>
      </c>
      <c r="X108" s="9">
        <f>M108*(1-O108)*((1-B108)*N108-B108*'模型说明与假设'!$B$7-'模型说明与假设'!$B$8)</f>
        <v/>
      </c>
      <c r="Y108" s="6" t="b">
        <v>0</v>
      </c>
    </row>
    <row r="109">
      <c r="A109" s="6" t="inlineStr">
        <is>
          <t>E103</t>
        </is>
      </c>
      <c r="B109" s="6" t="n">
        <v>0.4559915615837293</v>
      </c>
      <c r="C109" s="6" t="inlineStr">
        <is>
          <t>D</t>
        </is>
      </c>
      <c r="D109" s="6" t="n">
        <v>0.6023901931820861</v>
      </c>
      <c r="E109" s="6" t="n">
        <v>0.1278440884901151</v>
      </c>
      <c r="F109" s="6" t="n">
        <v>0.1936874388966366</v>
      </c>
      <c r="G109" s="6" t="n">
        <v>108</v>
      </c>
      <c r="H109" s="6" t="n">
        <v>88</v>
      </c>
      <c r="I109" s="6" t="inlineStr">
        <is>
          <t>***科技有限公司</t>
        </is>
      </c>
      <c r="J109" s="6" t="inlineStr">
        <is>
          <t>D</t>
        </is>
      </c>
      <c r="K109" s="6" t="inlineStr">
        <is>
          <t>是</t>
        </is>
      </c>
      <c r="L109" s="6" t="b">
        <v>1</v>
      </c>
      <c r="M109" s="6" t="n">
        <v>0</v>
      </c>
      <c r="N109" s="6" t="n">
        <v>0</v>
      </c>
      <c r="O109" s="6" t="n">
        <v>0</v>
      </c>
      <c r="P109" s="6" t="n">
        <v>0</v>
      </c>
      <c r="Q109" s="6" t="inlineStr">
        <is>
          <t>银行原始D级且预测D级</t>
        </is>
      </c>
      <c r="R109" s="6" t="n">
        <v>0</v>
      </c>
      <c r="S109" s="6" t="n">
        <v>0</v>
      </c>
      <c r="T109" s="6" t="n">
        <v>0</v>
      </c>
      <c r="U109" s="6" t="n">
        <v>0</v>
      </c>
      <c r="V109" s="6" t="n">
        <v>0</v>
      </c>
      <c r="W109" s="6" t="n">
        <v>0</v>
      </c>
      <c r="X109" s="9">
        <f>M109*(1-O109)*((1-B109)*N109-B109*'模型说明与假设'!$B$7-'模型说明与假设'!$B$8)</f>
        <v/>
      </c>
      <c r="Y109" s="6" t="b">
        <v>0</v>
      </c>
    </row>
    <row r="110">
      <c r="A110" s="6" t="inlineStr">
        <is>
          <t>E86</t>
        </is>
      </c>
      <c r="B110" s="6" t="n">
        <v>0.473069608436184</v>
      </c>
      <c r="C110" s="6" t="inlineStr">
        <is>
          <t>D</t>
        </is>
      </c>
      <c r="D110" s="6" t="n">
        <v>0.53611484045652</v>
      </c>
      <c r="E110" s="6" t="n">
        <v>0.150197544417872</v>
      </c>
      <c r="F110" s="6" t="n">
        <v>0.1735841962303627</v>
      </c>
      <c r="G110" s="6" t="n">
        <v>109</v>
      </c>
      <c r="H110" s="6" t="n">
        <v>109</v>
      </c>
      <c r="I110" s="6" t="inlineStr">
        <is>
          <t>***地质工程勘察院***分院</t>
        </is>
      </c>
      <c r="J110" s="6" t="inlineStr">
        <is>
          <t>C</t>
        </is>
      </c>
      <c r="K110" s="6" t="inlineStr">
        <is>
          <t>否</t>
        </is>
      </c>
      <c r="L110" s="6" t="b">
        <v>1</v>
      </c>
      <c r="M110" s="6" t="n">
        <v>0</v>
      </c>
      <c r="N110" s="6" t="n">
        <v>0</v>
      </c>
      <c r="O110" s="6" t="n">
        <v>0</v>
      </c>
      <c r="P110" s="6" t="n">
        <v>0</v>
      </c>
      <c r="Q110" s="6" t="inlineStr">
        <is>
          <t>预测D级</t>
        </is>
      </c>
      <c r="R110" s="6" t="n">
        <v>0</v>
      </c>
      <c r="S110" s="6" t="n">
        <v>0</v>
      </c>
      <c r="T110" s="6" t="n">
        <v>0</v>
      </c>
      <c r="U110" s="6" t="n">
        <v>0</v>
      </c>
      <c r="V110" s="6" t="n">
        <v>0</v>
      </c>
      <c r="W110" s="6" t="n">
        <v>0</v>
      </c>
      <c r="X110" s="9">
        <f>M110*(1-O110)*((1-B110)*N110-B110*'模型说明与假设'!$B$7-'模型说明与假设'!$B$8)</f>
        <v/>
      </c>
      <c r="Y110" s="6" t="b">
        <v>0</v>
      </c>
    </row>
    <row r="111">
      <c r="A111" s="6" t="inlineStr">
        <is>
          <t>E109</t>
        </is>
      </c>
      <c r="B111" s="6" t="n">
        <v>0.4873012908139384</v>
      </c>
      <c r="C111" s="6" t="inlineStr">
        <is>
          <t>D</t>
        </is>
      </c>
      <c r="D111" s="6" t="n">
        <v>0.58868781716545</v>
      </c>
      <c r="E111" s="6" t="n">
        <v>0.1369256412412928</v>
      </c>
      <c r="F111" s="6" t="n">
        <v>0.1959739103782881</v>
      </c>
      <c r="G111" s="6" t="n">
        <v>110</v>
      </c>
      <c r="H111" s="6" t="n">
        <v>93</v>
      </c>
      <c r="I111" s="6" t="inlineStr">
        <is>
          <t>***服饰有限公司</t>
        </is>
      </c>
      <c r="J111" s="6" t="inlineStr">
        <is>
          <t>D</t>
        </is>
      </c>
      <c r="K111" s="6" t="inlineStr">
        <is>
          <t>是</t>
        </is>
      </c>
      <c r="L111" s="6" t="b">
        <v>1</v>
      </c>
      <c r="M111" s="6" t="n">
        <v>0</v>
      </c>
      <c r="N111" s="6" t="n">
        <v>0</v>
      </c>
      <c r="O111" s="6" t="n">
        <v>0</v>
      </c>
      <c r="P111" s="6" t="n">
        <v>0</v>
      </c>
      <c r="Q111" s="6" t="inlineStr">
        <is>
          <t>银行原始D级且预测D级</t>
        </is>
      </c>
      <c r="R111" s="6" t="n">
        <v>0</v>
      </c>
      <c r="S111" s="6" t="n">
        <v>0</v>
      </c>
      <c r="T111" s="6" t="n">
        <v>0</v>
      </c>
      <c r="U111" s="6" t="n">
        <v>0</v>
      </c>
      <c r="V111" s="6" t="n">
        <v>0</v>
      </c>
      <c r="W111" s="6" t="n">
        <v>0</v>
      </c>
      <c r="X111" s="9">
        <f>M111*(1-O111)*((1-B111)*N111-B111*'模型说明与假设'!$B$7-'模型说明与假设'!$B$8)</f>
        <v/>
      </c>
      <c r="Y111" s="6" t="b">
        <v>0</v>
      </c>
    </row>
    <row r="112">
      <c r="A112" s="6" t="inlineStr">
        <is>
          <t>E101</t>
        </is>
      </c>
      <c r="B112" s="6" t="n">
        <v>0.5207895027016157</v>
      </c>
      <c r="C112" s="6" t="inlineStr">
        <is>
          <t>D</t>
        </is>
      </c>
      <c r="D112" s="6" t="n">
        <v>0.552254782419037</v>
      </c>
      <c r="E112" s="6" t="n">
        <v>0.1514883083399051</v>
      </c>
      <c r="F112" s="6" t="n">
        <v>0.1868476523619252</v>
      </c>
      <c r="G112" s="6" t="n">
        <v>111</v>
      </c>
      <c r="H112" s="6" t="n">
        <v>107</v>
      </c>
      <c r="I112" s="6" t="inlineStr">
        <is>
          <t>***灯饰工程有限公司</t>
        </is>
      </c>
      <c r="J112" s="6" t="inlineStr">
        <is>
          <t>D</t>
        </is>
      </c>
      <c r="K112" s="6" t="inlineStr">
        <is>
          <t>是</t>
        </is>
      </c>
      <c r="L112" s="6" t="b">
        <v>1</v>
      </c>
      <c r="M112" s="6" t="n">
        <v>0</v>
      </c>
      <c r="N112" s="6" t="n">
        <v>0</v>
      </c>
      <c r="O112" s="6" t="n">
        <v>0</v>
      </c>
      <c r="P112" s="6" t="n">
        <v>0</v>
      </c>
      <c r="Q112" s="6" t="inlineStr">
        <is>
          <t>银行原始D级且预测D级</t>
        </is>
      </c>
      <c r="R112" s="6" t="n">
        <v>0</v>
      </c>
      <c r="S112" s="6" t="n">
        <v>0</v>
      </c>
      <c r="T112" s="6" t="n">
        <v>0</v>
      </c>
      <c r="U112" s="6" t="n">
        <v>0</v>
      </c>
      <c r="V112" s="6" t="n">
        <v>0</v>
      </c>
      <c r="W112" s="6" t="n">
        <v>0</v>
      </c>
      <c r="X112" s="9">
        <f>M112*(1-O112)*((1-B112)*N112-B112*'模型说明与假设'!$B$7-'模型说明与假设'!$B$8)</f>
        <v/>
      </c>
      <c r="Y112" s="6" t="b">
        <v>0</v>
      </c>
    </row>
    <row r="113">
      <c r="A113" s="6" t="inlineStr">
        <is>
          <t>E102</t>
        </is>
      </c>
      <c r="B113" s="6" t="n">
        <v>0.5233561477210709</v>
      </c>
      <c r="C113" s="6" t="inlineStr">
        <is>
          <t>D</t>
        </is>
      </c>
      <c r="D113" s="6" t="n">
        <v>0.4495545355100251</v>
      </c>
      <c r="E113" s="6" t="n">
        <v>0.190645480796636</v>
      </c>
      <c r="F113" s="6" t="n">
        <v>0.155702146889391</v>
      </c>
      <c r="G113" s="6" t="n">
        <v>112</v>
      </c>
      <c r="H113" s="6" t="n">
        <v>116</v>
      </c>
      <c r="I113" s="6" t="inlineStr">
        <is>
          <t>***大药房有限责任公司</t>
        </is>
      </c>
      <c r="J113" s="6" t="inlineStr">
        <is>
          <t>D</t>
        </is>
      </c>
      <c r="K113" s="6" t="inlineStr">
        <is>
          <t>是</t>
        </is>
      </c>
      <c r="L113" s="6" t="b">
        <v>1</v>
      </c>
      <c r="M113" s="6" t="n">
        <v>0</v>
      </c>
      <c r="N113" s="6" t="n">
        <v>0</v>
      </c>
      <c r="O113" s="6" t="n">
        <v>0</v>
      </c>
      <c r="P113" s="6" t="n">
        <v>0</v>
      </c>
      <c r="Q113" s="6" t="inlineStr">
        <is>
          <t>银行原始D级且预测D级</t>
        </is>
      </c>
      <c r="R113" s="6" t="n">
        <v>0</v>
      </c>
      <c r="S113" s="6" t="n">
        <v>0</v>
      </c>
      <c r="T113" s="6" t="n">
        <v>0</v>
      </c>
      <c r="U113" s="6" t="n">
        <v>0</v>
      </c>
      <c r="V113" s="6" t="n">
        <v>0</v>
      </c>
      <c r="W113" s="6" t="n">
        <v>0</v>
      </c>
      <c r="X113" s="9">
        <f>M113*(1-O113)*((1-B113)*N113-B113*'模型说明与假设'!$B$7-'模型说明与假设'!$B$8)</f>
        <v/>
      </c>
      <c r="Y113" s="6" t="b">
        <v>0</v>
      </c>
    </row>
    <row r="114">
      <c r="A114" s="6" t="inlineStr">
        <is>
          <t>E117</t>
        </is>
      </c>
      <c r="B114" s="6" t="n">
        <v>0.535629577293673</v>
      </c>
      <c r="C114" s="6" t="inlineStr">
        <is>
          <t>D</t>
        </is>
      </c>
      <c r="D114" s="6" t="n">
        <v>0.5487194504347866</v>
      </c>
      <c r="E114" s="6" t="n">
        <v>0.1536979107881228</v>
      </c>
      <c r="F114" s="6" t="n">
        <v>0.1868838203239386</v>
      </c>
      <c r="G114" s="6" t="n">
        <v>113</v>
      </c>
      <c r="H114" s="6" t="n">
        <v>108</v>
      </c>
      <c r="I114" s="6" t="inlineStr">
        <is>
          <t>***人力资源管理咨询有限公司</t>
        </is>
      </c>
      <c r="J114" s="6" t="inlineStr">
        <is>
          <t>D</t>
        </is>
      </c>
      <c r="K114" s="6" t="inlineStr">
        <is>
          <t>是</t>
        </is>
      </c>
      <c r="L114" s="6" t="b">
        <v>1</v>
      </c>
      <c r="M114" s="6" t="n">
        <v>0</v>
      </c>
      <c r="N114" s="6" t="n">
        <v>0</v>
      </c>
      <c r="O114" s="6" t="n">
        <v>0</v>
      </c>
      <c r="P114" s="6" t="n">
        <v>0</v>
      </c>
      <c r="Q114" s="6" t="inlineStr">
        <is>
          <t>银行原始D级且预测D级</t>
        </is>
      </c>
      <c r="R114" s="6" t="n">
        <v>0</v>
      </c>
      <c r="S114" s="6" t="n">
        <v>0</v>
      </c>
      <c r="T114" s="6" t="n">
        <v>0</v>
      </c>
      <c r="U114" s="6" t="n">
        <v>0</v>
      </c>
      <c r="V114" s="6" t="n">
        <v>0</v>
      </c>
      <c r="W114" s="6" t="n">
        <v>0</v>
      </c>
      <c r="X114" s="9">
        <f>M114*(1-O114)*((1-B114)*N114-B114*'模型说明与假设'!$B$7-'模型说明与假设'!$B$8)</f>
        <v/>
      </c>
      <c r="Y114" s="6" t="b">
        <v>0</v>
      </c>
    </row>
    <row r="115">
      <c r="A115" s="6" t="inlineStr">
        <is>
          <t>E121</t>
        </is>
      </c>
      <c r="B115" s="6" t="n">
        <v>0.5453696921608918</v>
      </c>
      <c r="C115" s="6" t="inlineStr">
        <is>
          <t>D</t>
        </is>
      </c>
      <c r="D115" s="6" t="n">
        <v>0.4229439000996365</v>
      </c>
      <c r="E115" s="6" t="n">
        <v>0.2021966549771853</v>
      </c>
      <c r="F115" s="6" t="n">
        <v>0.148196755667113</v>
      </c>
      <c r="G115" s="6" t="n">
        <v>114</v>
      </c>
      <c r="H115" s="6" t="n">
        <v>119</v>
      </c>
      <c r="I115" s="6" t="inlineStr">
        <is>
          <t>***药业连锁有限公司***药店</t>
        </is>
      </c>
      <c r="J115" s="6" t="inlineStr">
        <is>
          <t>D</t>
        </is>
      </c>
      <c r="K115" s="6" t="inlineStr">
        <is>
          <t>是</t>
        </is>
      </c>
      <c r="L115" s="6" t="b">
        <v>1</v>
      </c>
      <c r="M115" s="6" t="n">
        <v>0</v>
      </c>
      <c r="N115" s="6" t="n">
        <v>0</v>
      </c>
      <c r="O115" s="6" t="n">
        <v>0</v>
      </c>
      <c r="P115" s="6" t="n">
        <v>0</v>
      </c>
      <c r="Q115" s="6" t="inlineStr">
        <is>
          <t>银行原始D级且预测D级</t>
        </is>
      </c>
      <c r="R115" s="6" t="n">
        <v>0</v>
      </c>
      <c r="S115" s="6" t="n">
        <v>0</v>
      </c>
      <c r="T115" s="6" t="n">
        <v>0</v>
      </c>
      <c r="U115" s="6" t="n">
        <v>0</v>
      </c>
      <c r="V115" s="6" t="n">
        <v>0</v>
      </c>
      <c r="W115" s="6" t="n">
        <v>0</v>
      </c>
      <c r="X115" s="9">
        <f>M115*(1-O115)*((1-B115)*N115-B115*'模型说明与假设'!$B$7-'模型说明与假设'!$B$8)</f>
        <v/>
      </c>
      <c r="Y115" s="6" t="b">
        <v>0</v>
      </c>
    </row>
    <row r="116">
      <c r="A116" s="6" t="inlineStr">
        <is>
          <t>E114</t>
        </is>
      </c>
      <c r="B116" s="6" t="n">
        <v>0.6311289549967271</v>
      </c>
      <c r="C116" s="6" t="inlineStr">
        <is>
          <t>D</t>
        </is>
      </c>
      <c r="D116" s="6" t="n">
        <v>0.4117795520324996</v>
      </c>
      <c r="E116" s="6" t="n">
        <v>0.1962469235239125</v>
      </c>
      <c r="F116" s="6" t="n">
        <v>0.1373812667268883</v>
      </c>
      <c r="G116" s="6" t="n">
        <v>115</v>
      </c>
      <c r="H116" s="6" t="n">
        <v>120</v>
      </c>
      <c r="I116" s="6" t="inlineStr">
        <is>
          <t>***食品有限责任公司</t>
        </is>
      </c>
      <c r="J116" s="6" t="inlineStr">
        <is>
          <t>D</t>
        </is>
      </c>
      <c r="K116" s="6" t="inlineStr">
        <is>
          <t>是</t>
        </is>
      </c>
      <c r="L116" s="6" t="b">
        <v>1</v>
      </c>
      <c r="M116" s="6" t="n">
        <v>0</v>
      </c>
      <c r="N116" s="6" t="n">
        <v>0</v>
      </c>
      <c r="O116" s="6" t="n">
        <v>0</v>
      </c>
      <c r="P116" s="6" t="n">
        <v>0</v>
      </c>
      <c r="Q116" s="6" t="inlineStr">
        <is>
          <t>银行原始D级且预测D级</t>
        </is>
      </c>
      <c r="R116" s="6" t="n">
        <v>0</v>
      </c>
      <c r="S116" s="6" t="n">
        <v>0</v>
      </c>
      <c r="T116" s="6" t="n">
        <v>0</v>
      </c>
      <c r="U116" s="6" t="n">
        <v>0</v>
      </c>
      <c r="V116" s="6" t="n">
        <v>0</v>
      </c>
      <c r="W116" s="6" t="n">
        <v>0</v>
      </c>
      <c r="X116" s="9">
        <f>M116*(1-O116)*((1-B116)*N116-B116*'模型说明与假设'!$B$7-'模型说明与假设'!$B$8)</f>
        <v/>
      </c>
      <c r="Y116" s="6" t="b">
        <v>0</v>
      </c>
    </row>
    <row r="117">
      <c r="A117" s="6" t="inlineStr">
        <is>
          <t>E99</t>
        </is>
      </c>
      <c r="B117" s="6" t="n">
        <v>0.6769513533328875</v>
      </c>
      <c r="C117" s="6" t="inlineStr">
        <is>
          <t>D</t>
        </is>
      </c>
      <c r="D117" s="6" t="n">
        <v>0.4086807235635316</v>
      </c>
      <c r="E117" s="6" t="n">
        <v>0.2017570680626607</v>
      </c>
      <c r="F117" s="6" t="n">
        <v>0.1394411240181577</v>
      </c>
      <c r="G117" s="6" t="n">
        <v>116</v>
      </c>
      <c r="H117" s="6" t="n">
        <v>122</v>
      </c>
      <c r="I117" s="6" t="inlineStr">
        <is>
          <t>***建筑工程有限责任公司</t>
        </is>
      </c>
      <c r="J117" s="6" t="inlineStr">
        <is>
          <t>D</t>
        </is>
      </c>
      <c r="K117" s="6" t="inlineStr">
        <is>
          <t>是</t>
        </is>
      </c>
      <c r="L117" s="6" t="b">
        <v>1</v>
      </c>
      <c r="M117" s="6" t="n">
        <v>0</v>
      </c>
      <c r="N117" s="6" t="n">
        <v>0</v>
      </c>
      <c r="O117" s="6" t="n">
        <v>0</v>
      </c>
      <c r="P117" s="6" t="n">
        <v>0</v>
      </c>
      <c r="Q117" s="6" t="inlineStr">
        <is>
          <t>银行原始D级且预测D级</t>
        </is>
      </c>
      <c r="R117" s="6" t="n">
        <v>0</v>
      </c>
      <c r="S117" s="6" t="n">
        <v>0</v>
      </c>
      <c r="T117" s="6" t="n">
        <v>0</v>
      </c>
      <c r="U117" s="6" t="n">
        <v>0</v>
      </c>
      <c r="V117" s="6" t="n">
        <v>0</v>
      </c>
      <c r="W117" s="6" t="n">
        <v>0</v>
      </c>
      <c r="X117" s="9">
        <f>M117*(1-O117)*((1-B117)*N117-B117*'模型说明与假设'!$B$7-'模型说明与假设'!$B$8)</f>
        <v/>
      </c>
      <c r="Y117" s="6" t="b">
        <v>0</v>
      </c>
    </row>
    <row r="118">
      <c r="A118" s="6" t="inlineStr">
        <is>
          <t>E107</t>
        </is>
      </c>
      <c r="B118" s="6" t="n">
        <v>0.7060285097965439</v>
      </c>
      <c r="C118" s="6" t="inlineStr">
        <is>
          <t>D</t>
        </is>
      </c>
      <c r="D118" s="6" t="n">
        <v>0.5259472334982777</v>
      </c>
      <c r="E118" s="6" t="n">
        <v>0.1659221685172835</v>
      </c>
      <c r="F118" s="6" t="n">
        <v>0.1840856370308372</v>
      </c>
      <c r="G118" s="6" t="n">
        <v>117</v>
      </c>
      <c r="H118" s="6" t="n">
        <v>110</v>
      </c>
      <c r="I118" s="6" t="inlineStr">
        <is>
          <t>***科技有限公司</t>
        </is>
      </c>
      <c r="J118" s="6" t="inlineStr">
        <is>
          <t>D</t>
        </is>
      </c>
      <c r="K118" s="6" t="inlineStr">
        <is>
          <t>是</t>
        </is>
      </c>
      <c r="L118" s="6" t="b">
        <v>1</v>
      </c>
      <c r="M118" s="6" t="n">
        <v>0</v>
      </c>
      <c r="N118" s="6" t="n">
        <v>0</v>
      </c>
      <c r="O118" s="6" t="n">
        <v>0</v>
      </c>
      <c r="P118" s="6" t="n">
        <v>0</v>
      </c>
      <c r="Q118" s="6" t="inlineStr">
        <is>
          <t>银行原始D级且预测D级</t>
        </is>
      </c>
      <c r="R118" s="6" t="n">
        <v>0</v>
      </c>
      <c r="S118" s="6" t="n">
        <v>0</v>
      </c>
      <c r="T118" s="6" t="n">
        <v>0</v>
      </c>
      <c r="U118" s="6" t="n">
        <v>0</v>
      </c>
      <c r="V118" s="6" t="n">
        <v>0</v>
      </c>
      <c r="W118" s="6" t="n">
        <v>0</v>
      </c>
      <c r="X118" s="9">
        <f>M118*(1-O118)*((1-B118)*N118-B118*'模型说明与假设'!$B$7-'模型说明与假设'!$B$8)</f>
        <v/>
      </c>
      <c r="Y118" s="6" t="b">
        <v>0</v>
      </c>
    </row>
    <row r="119">
      <c r="A119" s="6" t="inlineStr">
        <is>
          <t>E123</t>
        </is>
      </c>
      <c r="B119" s="6" t="n">
        <v>0.7884054962590055</v>
      </c>
      <c r="C119" s="6" t="inlineStr">
        <is>
          <t>D</t>
        </is>
      </c>
      <c r="D119" s="6" t="n">
        <v>0.4751765167560517</v>
      </c>
      <c r="E119" s="6" t="n">
        <v>0.1889874152264863</v>
      </c>
      <c r="F119" s="6" t="n">
        <v>0.1711096864854073</v>
      </c>
      <c r="G119" s="6" t="n">
        <v>118</v>
      </c>
      <c r="H119" s="6" t="n">
        <v>114</v>
      </c>
      <c r="I119" s="6" t="inlineStr">
        <is>
          <t>***创科技有限责任公司</t>
        </is>
      </c>
      <c r="J119" s="6" t="inlineStr">
        <is>
          <t>D</t>
        </is>
      </c>
      <c r="K119" s="6" t="inlineStr">
        <is>
          <t>是</t>
        </is>
      </c>
      <c r="L119" s="6" t="b">
        <v>1</v>
      </c>
      <c r="M119" s="6" t="n">
        <v>0</v>
      </c>
      <c r="N119" s="6" t="n">
        <v>0</v>
      </c>
      <c r="O119" s="6" t="n">
        <v>0</v>
      </c>
      <c r="P119" s="6" t="n">
        <v>0</v>
      </c>
      <c r="Q119" s="6" t="inlineStr">
        <is>
          <t>银行原始D级且预测D级</t>
        </is>
      </c>
      <c r="R119" s="6" t="n">
        <v>0</v>
      </c>
      <c r="S119" s="6" t="n">
        <v>0</v>
      </c>
      <c r="T119" s="6" t="n">
        <v>0</v>
      </c>
      <c r="U119" s="6" t="n">
        <v>0</v>
      </c>
      <c r="V119" s="6" t="n">
        <v>0</v>
      </c>
      <c r="W119" s="6" t="n">
        <v>0</v>
      </c>
      <c r="X119" s="9">
        <f>M119*(1-O119)*((1-B119)*N119-B119*'模型说明与假设'!$B$7-'模型说明与假设'!$B$8)</f>
        <v/>
      </c>
      <c r="Y119" s="6" t="b">
        <v>0</v>
      </c>
    </row>
    <row r="120">
      <c r="A120" s="6" t="inlineStr">
        <is>
          <t>E115</t>
        </is>
      </c>
      <c r="B120" s="6" t="n">
        <v>0.7961093991174868</v>
      </c>
      <c r="C120" s="6" t="inlineStr">
        <is>
          <t>D</t>
        </is>
      </c>
      <c r="D120" s="6" t="n">
        <v>0.5011475683409201</v>
      </c>
      <c r="E120" s="6" t="n">
        <v>0.1845290958718974</v>
      </c>
      <c r="F120" s="6" t="n">
        <v>0.1853780834079386</v>
      </c>
      <c r="G120" s="6" t="n">
        <v>119</v>
      </c>
      <c r="H120" s="6" t="n">
        <v>112</v>
      </c>
      <c r="I120" s="6" t="inlineStr">
        <is>
          <t>***装饰工程有限公司</t>
        </is>
      </c>
      <c r="J120" s="6" t="inlineStr">
        <is>
          <t>D</t>
        </is>
      </c>
      <c r="K120" s="6" t="inlineStr">
        <is>
          <t>是</t>
        </is>
      </c>
      <c r="L120" s="6" t="b">
        <v>1</v>
      </c>
      <c r="M120" s="6" t="n">
        <v>0</v>
      </c>
      <c r="N120" s="6" t="n">
        <v>0</v>
      </c>
      <c r="O120" s="6" t="n">
        <v>0</v>
      </c>
      <c r="P120" s="6" t="n">
        <v>0</v>
      </c>
      <c r="Q120" s="6" t="inlineStr">
        <is>
          <t>银行原始D级且预测D级</t>
        </is>
      </c>
      <c r="R120" s="6" t="n">
        <v>0</v>
      </c>
      <c r="S120" s="6" t="n">
        <v>0</v>
      </c>
      <c r="T120" s="6" t="n">
        <v>0</v>
      </c>
      <c r="U120" s="6" t="n">
        <v>0</v>
      </c>
      <c r="V120" s="6" t="n">
        <v>0</v>
      </c>
      <c r="W120" s="6" t="n">
        <v>0</v>
      </c>
      <c r="X120" s="9">
        <f>M120*(1-O120)*((1-B120)*N120-B120*'模型说明与假设'!$B$7-'模型说明与假设'!$B$8)</f>
        <v/>
      </c>
      <c r="Y120" s="6" t="b">
        <v>0</v>
      </c>
    </row>
    <row r="121">
      <c r="A121" s="6" t="inlineStr">
        <is>
          <t>E96</t>
        </is>
      </c>
      <c r="B121" s="6" t="n">
        <v>0.8068305060074297</v>
      </c>
      <c r="C121" s="6" t="inlineStr">
        <is>
          <t>D</t>
        </is>
      </c>
      <c r="D121" s="6" t="n">
        <v>0.4092258077747939</v>
      </c>
      <c r="E121" s="6" t="n">
        <v>0.2075354056340355</v>
      </c>
      <c r="F121" s="6" t="n">
        <v>0.1437585546730897</v>
      </c>
      <c r="G121" s="6" t="n">
        <v>120</v>
      </c>
      <c r="H121" s="6" t="n">
        <v>121</v>
      </c>
      <c r="I121" s="6" t="inlineStr">
        <is>
          <t>***土地整理有限公司</t>
        </is>
      </c>
      <c r="J121" s="6" t="inlineStr">
        <is>
          <t>C</t>
        </is>
      </c>
      <c r="K121" s="6" t="inlineStr">
        <is>
          <t>否</t>
        </is>
      </c>
      <c r="L121" s="6" t="b">
        <v>1</v>
      </c>
      <c r="M121" s="6" t="n">
        <v>0</v>
      </c>
      <c r="N121" s="6" t="n">
        <v>0</v>
      </c>
      <c r="O121" s="6" t="n">
        <v>0</v>
      </c>
      <c r="P121" s="6" t="n">
        <v>0</v>
      </c>
      <c r="Q121" s="6" t="inlineStr">
        <is>
          <t>预测D级</t>
        </is>
      </c>
      <c r="R121" s="6" t="n">
        <v>0</v>
      </c>
      <c r="S121" s="6" t="n">
        <v>0</v>
      </c>
      <c r="T121" s="6" t="n">
        <v>0</v>
      </c>
      <c r="U121" s="6" t="n">
        <v>0</v>
      </c>
      <c r="V121" s="6" t="n">
        <v>0</v>
      </c>
      <c r="W121" s="6" t="n">
        <v>0</v>
      </c>
      <c r="X121" s="9">
        <f>M121*(1-O121)*((1-B121)*N121-B121*'模型说明与假设'!$B$7-'模型说明与假设'!$B$8)</f>
        <v/>
      </c>
      <c r="Y121" s="6" t="b">
        <v>0</v>
      </c>
    </row>
    <row r="122">
      <c r="A122" s="6" t="inlineStr">
        <is>
          <t>E119</t>
        </is>
      </c>
      <c r="B122" s="6" t="n">
        <v>0.820370511801267</v>
      </c>
      <c r="C122" s="6" t="inlineStr">
        <is>
          <t>D</t>
        </is>
      </c>
      <c r="D122" s="6" t="n">
        <v>0.4254043196166429</v>
      </c>
      <c r="E122" s="6" t="n">
        <v>0.2020276776825397</v>
      </c>
      <c r="F122" s="6" t="n">
        <v>0.1495720376995033</v>
      </c>
      <c r="G122" s="6" t="n">
        <v>121</v>
      </c>
      <c r="H122" s="6" t="n">
        <v>118</v>
      </c>
      <c r="I122" s="6" t="inlineStr">
        <is>
          <t>***药房</t>
        </is>
      </c>
      <c r="J122" s="6" t="inlineStr">
        <is>
          <t>D</t>
        </is>
      </c>
      <c r="K122" s="6" t="inlineStr">
        <is>
          <t>是</t>
        </is>
      </c>
      <c r="L122" s="6" t="b">
        <v>1</v>
      </c>
      <c r="M122" s="6" t="n">
        <v>0</v>
      </c>
      <c r="N122" s="6" t="n">
        <v>0</v>
      </c>
      <c r="O122" s="6" t="n">
        <v>0</v>
      </c>
      <c r="P122" s="6" t="n">
        <v>0</v>
      </c>
      <c r="Q122" s="6" t="inlineStr">
        <is>
          <t>银行原始D级且预测D级</t>
        </is>
      </c>
      <c r="R122" s="6" t="n">
        <v>0</v>
      </c>
      <c r="S122" s="6" t="n">
        <v>0</v>
      </c>
      <c r="T122" s="6" t="n">
        <v>0</v>
      </c>
      <c r="U122" s="6" t="n">
        <v>0</v>
      </c>
      <c r="V122" s="6" t="n">
        <v>0</v>
      </c>
      <c r="W122" s="6" t="n">
        <v>0</v>
      </c>
      <c r="X122" s="9">
        <f>M122*(1-O122)*((1-B122)*N122-B122*'模型说明与假设'!$B$7-'模型说明与假设'!$B$8)</f>
        <v/>
      </c>
      <c r="Y122" s="6" t="b">
        <v>0</v>
      </c>
    </row>
    <row r="123">
      <c r="A123" s="6" t="inlineStr">
        <is>
          <t>E120</t>
        </is>
      </c>
      <c r="B123" s="6" t="n">
        <v>0.8390629721168779</v>
      </c>
      <c r="C123" s="6" t="inlineStr">
        <is>
          <t>D</t>
        </is>
      </c>
      <c r="D123" s="6" t="n">
        <v>0.4926827342689545</v>
      </c>
      <c r="E123" s="6" t="n">
        <v>0.1746205353648336</v>
      </c>
      <c r="F123" s="6" t="n">
        <v>0.1695832738889377</v>
      </c>
      <c r="G123" s="6" t="n">
        <v>122</v>
      </c>
      <c r="H123" s="6" t="n">
        <v>113</v>
      </c>
      <c r="I123" s="6" t="inlineStr">
        <is>
          <t>***陈列广告有限公司</t>
        </is>
      </c>
      <c r="J123" s="6" t="inlineStr">
        <is>
          <t>D</t>
        </is>
      </c>
      <c r="K123" s="6" t="inlineStr">
        <is>
          <t>是</t>
        </is>
      </c>
      <c r="L123" s="6" t="b">
        <v>1</v>
      </c>
      <c r="M123" s="6" t="n">
        <v>0</v>
      </c>
      <c r="N123" s="6" t="n">
        <v>0</v>
      </c>
      <c r="O123" s="6" t="n">
        <v>0</v>
      </c>
      <c r="P123" s="6" t="n">
        <v>0</v>
      </c>
      <c r="Q123" s="6" t="inlineStr">
        <is>
          <t>银行原始D级且预测D级</t>
        </is>
      </c>
      <c r="R123" s="6" t="n">
        <v>0</v>
      </c>
      <c r="S123" s="6" t="n">
        <v>0</v>
      </c>
      <c r="T123" s="6" t="n">
        <v>0</v>
      </c>
      <c r="U123" s="6" t="n">
        <v>0</v>
      </c>
      <c r="V123" s="6" t="n">
        <v>0</v>
      </c>
      <c r="W123" s="6" t="n">
        <v>0</v>
      </c>
      <c r="X123" s="9">
        <f>M123*(1-O123)*((1-B123)*N123-B123*'模型说明与假设'!$B$7-'模型说明与假设'!$B$8)</f>
        <v/>
      </c>
      <c r="Y123" s="6" t="b">
        <v>0</v>
      </c>
    </row>
    <row r="124">
      <c r="A124" s="6" t="inlineStr">
        <is>
          <t>E113</t>
        </is>
      </c>
      <c r="B124" s="6" t="n">
        <v>0.9301541477590248</v>
      </c>
      <c r="C124" s="6" t="inlineStr">
        <is>
          <t>D</t>
        </is>
      </c>
      <c r="D124" s="6" t="n">
        <v>0.3341216004256589</v>
      </c>
      <c r="E124" s="6" t="n">
        <v>0.2232099735356863</v>
      </c>
      <c r="F124" s="6" t="n">
        <v>0.1120013408399895</v>
      </c>
      <c r="G124" s="6" t="n">
        <v>123</v>
      </c>
      <c r="H124" s="6" t="n">
        <v>123</v>
      </c>
      <c r="I124" s="6" t="inlineStr">
        <is>
          <t>***美居科技有限公司</t>
        </is>
      </c>
      <c r="J124" s="6" t="inlineStr">
        <is>
          <t>D</t>
        </is>
      </c>
      <c r="K124" s="6" t="inlineStr">
        <is>
          <t>是</t>
        </is>
      </c>
      <c r="L124" s="6" t="b">
        <v>1</v>
      </c>
      <c r="M124" s="6" t="n">
        <v>0</v>
      </c>
      <c r="N124" s="6" t="n">
        <v>0</v>
      </c>
      <c r="O124" s="6" t="n">
        <v>0</v>
      </c>
      <c r="P124" s="6" t="n">
        <v>0</v>
      </c>
      <c r="Q124" s="6" t="inlineStr">
        <is>
          <t>银行原始D级且预测D级</t>
        </is>
      </c>
      <c r="R124" s="6" t="n">
        <v>0</v>
      </c>
      <c r="S124" s="6" t="n">
        <v>0</v>
      </c>
      <c r="T124" s="6" t="n">
        <v>0</v>
      </c>
      <c r="U124" s="6" t="n">
        <v>0</v>
      </c>
      <c r="V124" s="6" t="n">
        <v>0</v>
      </c>
      <c r="W124" s="6" t="n">
        <v>0</v>
      </c>
      <c r="X124" s="9">
        <f>M124*(1-O124)*((1-B124)*N124-B124*'模型说明与假设'!$B$7-'模型说明与假设'!$B$8)</f>
        <v/>
      </c>
      <c r="Y124" s="6" t="b">
        <v>0</v>
      </c>
    </row>
  </sheetData>
  <autoFilter ref="A1:Y1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3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.75" customWidth="1" min="2" max="2"/>
    <col width="10" customWidth="1" min="3" max="3"/>
    <col width="24.5" customWidth="1" min="4" max="4"/>
    <col width="25.75" customWidth="1" min="5" max="5"/>
    <col width="24.5" customWidth="1" min="6" max="6"/>
    <col width="10" customWidth="1" min="7" max="7"/>
    <col width="12" customWidth="1" min="8" max="8"/>
    <col width="25.75" customWidth="1" min="9" max="9"/>
    <col width="10" customWidth="1" min="10" max="10"/>
    <col width="10.75" customWidth="1" min="11" max="11"/>
    <col width="10" customWidth="1" min="12" max="12"/>
    <col width="24.5" customWidth="1" min="13" max="13"/>
    <col width="29.5" customWidth="1" min="14" max="14"/>
    <col width="10" customWidth="1" min="15" max="15"/>
    <col width="23.25" customWidth="1" min="16" max="16"/>
    <col width="22" customWidth="1" min="17" max="17"/>
    <col width="23.25" customWidth="1" min="18" max="18"/>
    <col width="23.25" customWidth="1" min="19" max="19"/>
    <col width="24.5" customWidth="1" min="20" max="20"/>
    <col width="24.5" customWidth="1" min="21" max="21"/>
    <col width="24.5" customWidth="1" min="22" max="22"/>
    <col width="10.75" customWidth="1" min="23" max="23"/>
  </cols>
  <sheetData>
    <row r="1">
      <c r="A1" s="5" t="inlineStr">
        <is>
          <t>企业代号</t>
        </is>
      </c>
      <c r="B1" s="5" t="inlineStr">
        <is>
          <t>违约概率</t>
        </is>
      </c>
      <c r="C1" s="5" t="inlineStr">
        <is>
          <t>风险等级</t>
        </is>
      </c>
      <c r="D1" s="5" t="inlineStr">
        <is>
          <t>TOPSIS得分</t>
        </is>
      </c>
      <c r="E1" s="5" t="inlineStr">
        <is>
          <t>D_pos</t>
        </is>
      </c>
      <c r="F1" s="5" t="inlineStr">
        <is>
          <t>D_neg</t>
        </is>
      </c>
      <c r="G1" s="5" t="inlineStr">
        <is>
          <t>PD排名</t>
        </is>
      </c>
      <c r="H1" s="5" t="inlineStr">
        <is>
          <t>TOPSIS排名</t>
        </is>
      </c>
      <c r="I1" s="5" t="inlineStr">
        <is>
          <t>企业名称</t>
        </is>
      </c>
      <c r="J1" s="5" t="inlineStr">
        <is>
          <t>硬性禁贷</t>
        </is>
      </c>
      <c r="K1" s="5" t="inlineStr">
        <is>
          <t>贷款额度_万元</t>
        </is>
      </c>
      <c r="L1" s="5" t="inlineStr">
        <is>
          <t>贷款年利率</t>
        </is>
      </c>
      <c r="M1" s="5" t="inlineStr">
        <is>
          <t>预计流失率</t>
        </is>
      </c>
      <c r="N1" s="5" t="inlineStr">
        <is>
          <t>单位额度期望收益</t>
        </is>
      </c>
      <c r="O1" s="5" t="inlineStr">
        <is>
          <t>禁贷原因</t>
        </is>
      </c>
      <c r="P1" s="5" t="inlineStr">
        <is>
          <t>客户留存率</t>
        </is>
      </c>
      <c r="Q1" s="5" t="inlineStr">
        <is>
          <t>预计实际放款额</t>
        </is>
      </c>
      <c r="R1" s="5" t="inlineStr">
        <is>
          <t>名义利息</t>
        </is>
      </c>
      <c r="S1" s="5" t="inlineStr">
        <is>
          <t>预计留存后利息</t>
        </is>
      </c>
      <c r="T1" s="5" t="inlineStr">
        <is>
          <t>预计违约损失</t>
        </is>
      </c>
      <c r="U1" s="5" t="inlineStr">
        <is>
          <t>预计资金成本</t>
        </is>
      </c>
      <c r="V1" s="5" t="inlineStr">
        <is>
          <t>期望净收益</t>
        </is>
      </c>
      <c r="W1" s="5" t="inlineStr">
        <is>
          <t>预算强制负收益</t>
        </is>
      </c>
    </row>
    <row r="2">
      <c r="A2" s="6" t="inlineStr">
        <is>
          <t>E131</t>
        </is>
      </c>
      <c r="B2" s="6" t="n">
        <v>0.01409433955447803</v>
      </c>
      <c r="C2" s="6" t="inlineStr">
        <is>
          <t>A</t>
        </is>
      </c>
      <c r="D2" s="6" t="n">
        <v>0.782123075968717</v>
      </c>
      <c r="E2" s="6" t="n">
        <v>0.06706110412285542</v>
      </c>
      <c r="F2" s="6" t="n">
        <v>0.2407324101330494</v>
      </c>
      <c r="G2" s="6" t="n">
        <v>1</v>
      </c>
      <c r="H2" s="6" t="n">
        <v>7</v>
      </c>
      <c r="I2" s="6" t="inlineStr">
        <is>
          <t xml:space="preserve">个体经营E131 </t>
        </is>
      </c>
      <c r="J2" s="6" t="b">
        <v>0</v>
      </c>
      <c r="K2" s="6" t="n">
        <v>100</v>
      </c>
      <c r="L2" s="6" t="n">
        <v>0.0745</v>
      </c>
      <c r="M2" s="6" t="n">
        <v>0.511096611982035</v>
      </c>
      <c r="N2" s="6" t="n">
        <v>0.01955289309902884</v>
      </c>
      <c r="O2" s="6" t="inlineStr"/>
      <c r="P2" s="6" t="n">
        <v>0.488903388017965</v>
      </c>
      <c r="Q2" s="6" t="n">
        <v>48.8903388017965</v>
      </c>
      <c r="R2" s="6" t="n">
        <v>7.449999999999999</v>
      </c>
      <c r="S2" s="6" t="n">
        <v>3.590994001551393</v>
      </c>
      <c r="T2" s="6" t="n">
        <v>0.4134462216035955</v>
      </c>
      <c r="U2" s="6" t="n">
        <v>1.222258470044912</v>
      </c>
      <c r="V2" s="9">
        <f>K2*(1-M2)*((1-B2)*L2-B2*'模型说明与假设'!$B$7-'模型说明与假设'!$B$8)</f>
        <v/>
      </c>
      <c r="W2" s="6" t="b">
        <v>0</v>
      </c>
    </row>
    <row r="3">
      <c r="A3" s="6" t="inlineStr">
        <is>
          <t>E134</t>
        </is>
      </c>
      <c r="B3" s="6" t="n">
        <v>0.01465792026087819</v>
      </c>
      <c r="C3" s="6" t="inlineStr">
        <is>
          <t>A</t>
        </is>
      </c>
      <c r="D3" s="6" t="n">
        <v>0.8165852092211051</v>
      </c>
      <c r="E3" s="6" t="n">
        <v>0.05505878233309731</v>
      </c>
      <c r="F3" s="6" t="n">
        <v>0.2451284713735586</v>
      </c>
      <c r="G3" s="6" t="n">
        <v>2</v>
      </c>
      <c r="H3" s="6" t="n">
        <v>1</v>
      </c>
      <c r="I3" s="6" t="inlineStr">
        <is>
          <t>***工程咨询有限公司</t>
        </is>
      </c>
      <c r="J3" s="6" t="b">
        <v>0</v>
      </c>
      <c r="K3" s="6" t="n">
        <v>100</v>
      </c>
      <c r="L3" s="6" t="n">
        <v>0.0745</v>
      </c>
      <c r="M3" s="6" t="n">
        <v>0.511096611982035</v>
      </c>
      <c r="N3" s="6" t="n">
        <v>0.01936704371846033</v>
      </c>
      <c r="O3" s="6" t="inlineStr"/>
      <c r="P3" s="6" t="n">
        <v>0.488903388017965</v>
      </c>
      <c r="Q3" s="6" t="n">
        <v>48.8903388017965</v>
      </c>
      <c r="R3" s="6" t="n">
        <v>7.449999999999999</v>
      </c>
      <c r="S3" s="6" t="n">
        <v>3.588941254501377</v>
      </c>
      <c r="T3" s="6" t="n">
        <v>0.4299784126104311</v>
      </c>
      <c r="U3" s="6" t="n">
        <v>1.222258470044912</v>
      </c>
      <c r="V3" s="9">
        <f>K3*(1-M3)*((1-B3)*L3-B3*'模型说明与假设'!$B$7-'模型说明与假设'!$B$8)</f>
        <v/>
      </c>
      <c r="W3" s="6" t="b">
        <v>0</v>
      </c>
    </row>
    <row r="4">
      <c r="A4" s="6" t="inlineStr">
        <is>
          <t>E193</t>
        </is>
      </c>
      <c r="B4" s="6" t="n">
        <v>0.01582816664461734</v>
      </c>
      <c r="C4" s="6" t="inlineStr">
        <is>
          <t>A</t>
        </is>
      </c>
      <c r="D4" s="6" t="n">
        <v>0.7689180986126891</v>
      </c>
      <c r="E4" s="6" t="n">
        <v>0.07375434227197601</v>
      </c>
      <c r="F4" s="6" t="n">
        <v>0.2454153626213472</v>
      </c>
      <c r="G4" s="6" t="n">
        <v>3</v>
      </c>
      <c r="H4" s="6" t="n">
        <v>16</v>
      </c>
      <c r="I4" s="6" t="inlineStr">
        <is>
          <t xml:space="preserve">个体经营E193 </t>
        </is>
      </c>
      <c r="J4" s="6" t="b">
        <v>0</v>
      </c>
      <c r="K4" s="6" t="n">
        <v>100</v>
      </c>
      <c r="L4" s="6" t="n">
        <v>0.0745</v>
      </c>
      <c r="M4" s="6" t="n">
        <v>0.511096611982035</v>
      </c>
      <c r="N4" s="6" t="n">
        <v>0.0189811370274388</v>
      </c>
      <c r="O4" s="6" t="inlineStr"/>
      <c r="P4" s="6" t="n">
        <v>0.488903388017965</v>
      </c>
      <c r="Q4" s="6" t="n">
        <v>48.8903388017965</v>
      </c>
      <c r="R4" s="6" t="n">
        <v>7.449999999999999</v>
      </c>
      <c r="S4" s="6" t="n">
        <v>3.584678830708774</v>
      </c>
      <c r="T4" s="6" t="n">
        <v>0.4643066579199817</v>
      </c>
      <c r="U4" s="6" t="n">
        <v>1.222258470044912</v>
      </c>
      <c r="V4" s="9">
        <f>K4*(1-M4)*((1-B4)*L4-B4*'模型说明与假设'!$B$7-'模型说明与假设'!$B$8)</f>
        <v/>
      </c>
      <c r="W4" s="6" t="b">
        <v>0</v>
      </c>
    </row>
    <row r="5">
      <c r="A5" s="6" t="inlineStr">
        <is>
          <t>E141</t>
        </is>
      </c>
      <c r="B5" s="6" t="n">
        <v>0.01637722471754487</v>
      </c>
      <c r="C5" s="6" t="inlineStr">
        <is>
          <t>A</t>
        </is>
      </c>
      <c r="D5" s="6" t="n">
        <v>0.7974374482046912</v>
      </c>
      <c r="E5" s="6" t="n">
        <v>0.06179947891264528</v>
      </c>
      <c r="F5" s="6" t="n">
        <v>0.2432888918889538</v>
      </c>
      <c r="G5" s="6" t="n">
        <v>4</v>
      </c>
      <c r="H5" s="6" t="n">
        <v>4</v>
      </c>
      <c r="I5" s="6" t="inlineStr">
        <is>
          <t>***食品有限公司</t>
        </is>
      </c>
      <c r="J5" s="6" t="b">
        <v>0</v>
      </c>
      <c r="K5" s="6" t="n">
        <v>100</v>
      </c>
      <c r="L5" s="6" t="n">
        <v>0.0745</v>
      </c>
      <c r="M5" s="6" t="n">
        <v>0.511096611982035</v>
      </c>
      <c r="N5" s="6" t="n">
        <v>0.01880007670796565</v>
      </c>
      <c r="O5" s="6" t="inlineStr"/>
      <c r="P5" s="6" t="n">
        <v>0.488903388017965</v>
      </c>
      <c r="Q5" s="6" t="n">
        <v>48.8903388017965</v>
      </c>
      <c r="R5" s="6" t="n">
        <v>7.449999999999999</v>
      </c>
      <c r="S5" s="6" t="n">
        <v>3.582678979885831</v>
      </c>
      <c r="T5" s="6" t="n">
        <v>0.4804128390443546</v>
      </c>
      <c r="U5" s="6" t="n">
        <v>1.222258470044912</v>
      </c>
      <c r="V5" s="9">
        <f>K5*(1-M5)*((1-B5)*L5-B5*'模型说明与假设'!$B$7-'模型说明与假设'!$B$8)</f>
        <v/>
      </c>
      <c r="W5" s="6" t="b">
        <v>0</v>
      </c>
    </row>
    <row r="6">
      <c r="A6" s="6" t="inlineStr">
        <is>
          <t>E129</t>
        </is>
      </c>
      <c r="B6" s="6" t="n">
        <v>0.01644921563307851</v>
      </c>
      <c r="C6" s="6" t="inlineStr">
        <is>
          <t>A</t>
        </is>
      </c>
      <c r="D6" s="6" t="n">
        <v>0.789053140394565</v>
      </c>
      <c r="E6" s="6" t="n">
        <v>0.06589469527289403</v>
      </c>
      <c r="F6" s="6" t="n">
        <v>0.2464811106345586</v>
      </c>
      <c r="G6" s="6" t="n">
        <v>5</v>
      </c>
      <c r="H6" s="6" t="n">
        <v>5</v>
      </c>
      <c r="I6" s="6" t="inlineStr">
        <is>
          <t xml:space="preserve">个体经营E129 </t>
        </is>
      </c>
      <c r="J6" s="6" t="b">
        <v>0</v>
      </c>
      <c r="K6" s="6" t="n">
        <v>100</v>
      </c>
      <c r="L6" s="6" t="n">
        <v>0.0745</v>
      </c>
      <c r="M6" s="6" t="n">
        <v>0.511096611982035</v>
      </c>
      <c r="N6" s="6" t="n">
        <v>0.01877633659957203</v>
      </c>
      <c r="O6" s="6" t="inlineStr"/>
      <c r="P6" s="6" t="n">
        <v>0.488903388017965</v>
      </c>
      <c r="Q6" s="6" t="n">
        <v>48.8903388017965</v>
      </c>
      <c r="R6" s="6" t="n">
        <v>7.449999999999999</v>
      </c>
      <c r="S6" s="6" t="n">
        <v>3.582416765197125</v>
      </c>
      <c r="T6" s="6" t="n">
        <v>0.4825246351950095</v>
      </c>
      <c r="U6" s="6" t="n">
        <v>1.222258470044912</v>
      </c>
      <c r="V6" s="9">
        <f>K6*(1-M6)*((1-B6)*L6-B6*'模型说明与假设'!$B$7-'模型说明与假设'!$B$8)</f>
        <v/>
      </c>
      <c r="W6" s="6" t="b">
        <v>0</v>
      </c>
    </row>
    <row r="7">
      <c r="A7" s="6" t="inlineStr">
        <is>
          <t>E194</t>
        </is>
      </c>
      <c r="B7" s="6" t="n">
        <v>0.01689116311405442</v>
      </c>
      <c r="C7" s="6" t="inlineStr">
        <is>
          <t>A</t>
        </is>
      </c>
      <c r="D7" s="6" t="n">
        <v>0.7987294624026758</v>
      </c>
      <c r="E7" s="6" t="n">
        <v>0.06223700388599493</v>
      </c>
      <c r="F7" s="6" t="n">
        <v>0.2469836333168062</v>
      </c>
      <c r="G7" s="6" t="n">
        <v>6</v>
      </c>
      <c r="H7" s="6" t="n">
        <v>3</v>
      </c>
      <c r="I7" s="6" t="inlineStr">
        <is>
          <t>***文化传播有限公司</t>
        </is>
      </c>
      <c r="J7" s="6" t="b">
        <v>0</v>
      </c>
      <c r="K7" s="6" t="n">
        <v>100</v>
      </c>
      <c r="L7" s="6" t="n">
        <v>0.0745</v>
      </c>
      <c r="M7" s="6" t="n">
        <v>0.511096611982035</v>
      </c>
      <c r="N7" s="6" t="n">
        <v>0.0186305976403592</v>
      </c>
      <c r="O7" s="6" t="inlineStr"/>
      <c r="P7" s="6" t="n">
        <v>0.488903388017965</v>
      </c>
      <c r="Q7" s="6" t="n">
        <v>48.8903388017965</v>
      </c>
      <c r="R7" s="6" t="n">
        <v>7.449999999999999</v>
      </c>
      <c r="S7" s="6" t="n">
        <v>3.58080704652235</v>
      </c>
      <c r="T7" s="6" t="n">
        <v>0.4954888124415172</v>
      </c>
      <c r="U7" s="6" t="n">
        <v>1.222258470044912</v>
      </c>
      <c r="V7" s="9">
        <f>K7*(1-M7)*((1-B7)*L7-B7*'模型说明与假设'!$B$7-'模型说明与假设'!$B$8)</f>
        <v/>
      </c>
      <c r="W7" s="6" t="b">
        <v>0</v>
      </c>
    </row>
    <row r="8">
      <c r="A8" s="6" t="inlineStr">
        <is>
          <t>E138</t>
        </is>
      </c>
      <c r="B8" s="6" t="n">
        <v>0.01820365162389506</v>
      </c>
      <c r="C8" s="6" t="inlineStr">
        <is>
          <t>A</t>
        </is>
      </c>
      <c r="D8" s="6" t="n">
        <v>0.7568530970846399</v>
      </c>
      <c r="E8" s="6" t="n">
        <v>0.0756568718370547</v>
      </c>
      <c r="F8" s="6" t="n">
        <v>0.2355001732658023</v>
      </c>
      <c r="G8" s="6" t="n">
        <v>7</v>
      </c>
      <c r="H8" s="6" t="n">
        <v>27</v>
      </c>
      <c r="I8" s="6" t="inlineStr">
        <is>
          <t xml:space="preserve">个体经营E138 </t>
        </is>
      </c>
      <c r="J8" s="6" t="b">
        <v>0</v>
      </c>
      <c r="K8" s="6" t="n">
        <v>100</v>
      </c>
      <c r="L8" s="6" t="n">
        <v>0.0745</v>
      </c>
      <c r="M8" s="6" t="n">
        <v>0.511096611982035</v>
      </c>
      <c r="N8" s="6" t="n">
        <v>0.01819778442694168</v>
      </c>
      <c r="O8" s="6" t="inlineStr"/>
      <c r="P8" s="6" t="n">
        <v>0.488903388017965</v>
      </c>
      <c r="Q8" s="6" t="n">
        <v>48.8903388017965</v>
      </c>
      <c r="R8" s="6" t="n">
        <v>7.449999999999999</v>
      </c>
      <c r="S8" s="6" t="n">
        <v>3.576026529932342</v>
      </c>
      <c r="T8" s="6" t="n">
        <v>0.5339896171932614</v>
      </c>
      <c r="U8" s="6" t="n">
        <v>1.222258470044912</v>
      </c>
      <c r="V8" s="9">
        <f>K8*(1-M8)*((1-B8)*L8-B8*'模型说明与假设'!$B$7-'模型说明与假设'!$B$8)</f>
        <v/>
      </c>
      <c r="W8" s="6" t="b">
        <v>0</v>
      </c>
    </row>
    <row r="9">
      <c r="A9" s="6" t="inlineStr">
        <is>
          <t>E238</t>
        </is>
      </c>
      <c r="B9" s="6" t="n">
        <v>0.01837065317456444</v>
      </c>
      <c r="C9" s="6" t="inlineStr">
        <is>
          <t>A</t>
        </is>
      </c>
      <c r="D9" s="6" t="n">
        <v>0.7771538440062898</v>
      </c>
      <c r="E9" s="6" t="n">
        <v>0.06902399898424255</v>
      </c>
      <c r="F9" s="6" t="n">
        <v>0.2407143434899745</v>
      </c>
      <c r="G9" s="6" t="n">
        <v>8</v>
      </c>
      <c r="H9" s="6" t="n">
        <v>12</v>
      </c>
      <c r="I9" s="6" t="inlineStr">
        <is>
          <t xml:space="preserve">个体经营E238 </t>
        </is>
      </c>
      <c r="J9" s="6" t="b">
        <v>0</v>
      </c>
      <c r="K9" s="6" t="n">
        <v>100</v>
      </c>
      <c r="L9" s="6" t="n">
        <v>0.0745</v>
      </c>
      <c r="M9" s="6" t="n">
        <v>0.511096611982035</v>
      </c>
      <c r="N9" s="6" t="n">
        <v>0.01814271310460325</v>
      </c>
      <c r="O9" s="6" t="inlineStr"/>
      <c r="P9" s="6" t="n">
        <v>0.488903388017965</v>
      </c>
      <c r="Q9" s="6" t="n">
        <v>48.8903388017965</v>
      </c>
      <c r="R9" s="6" t="n">
        <v>7.449999999999999</v>
      </c>
      <c r="S9" s="6" t="n">
        <v>3.575418255134089</v>
      </c>
      <c r="T9" s="6" t="n">
        <v>0.5388884746288523</v>
      </c>
      <c r="U9" s="6" t="n">
        <v>1.222258470044912</v>
      </c>
      <c r="V9" s="9">
        <f>K9*(1-M9)*((1-B9)*L9-B9*'模型说明与假设'!$B$7-'模型说明与假设'!$B$8)</f>
        <v/>
      </c>
      <c r="W9" s="6" t="b">
        <v>0</v>
      </c>
    </row>
    <row r="10">
      <c r="A10" s="6" t="inlineStr">
        <is>
          <t>E139</t>
        </is>
      </c>
      <c r="B10" s="6" t="n">
        <v>0.01982193705546853</v>
      </c>
      <c r="C10" s="6" t="inlineStr">
        <is>
          <t>A</t>
        </is>
      </c>
      <c r="D10" s="6" t="n">
        <v>0.7505516168870732</v>
      </c>
      <c r="E10" s="6" t="n">
        <v>0.08012127565279802</v>
      </c>
      <c r="F10" s="6" t="n">
        <v>0.2410725306687551</v>
      </c>
      <c r="G10" s="6" t="n">
        <v>9</v>
      </c>
      <c r="H10" s="6" t="n">
        <v>32</v>
      </c>
      <c r="I10" s="6" t="inlineStr">
        <is>
          <t xml:space="preserve">个体经营E139 </t>
        </is>
      </c>
      <c r="J10" s="6" t="b">
        <v>0</v>
      </c>
      <c r="K10" s="6" t="n">
        <v>100</v>
      </c>
      <c r="L10" s="6" t="n">
        <v>0.0745</v>
      </c>
      <c r="M10" s="6" t="n">
        <v>0.511096611982035</v>
      </c>
      <c r="N10" s="6" t="n">
        <v>0.01766412998912026</v>
      </c>
      <c r="O10" s="6" t="inlineStr"/>
      <c r="P10" s="6" t="n">
        <v>0.488903388017965</v>
      </c>
      <c r="Q10" s="6" t="n">
        <v>48.8903388017965</v>
      </c>
      <c r="R10" s="6" t="n">
        <v>7.449999999999999</v>
      </c>
      <c r="S10" s="6" t="n">
        <v>3.570132199966783</v>
      </c>
      <c r="T10" s="6" t="n">
        <v>0.5814607310098446</v>
      </c>
      <c r="U10" s="6" t="n">
        <v>1.222258470044912</v>
      </c>
      <c r="V10" s="9">
        <f>K10*(1-M10)*((1-B10)*L10-B10*'模型说明与假设'!$B$7-'模型说明与假设'!$B$8)</f>
        <v/>
      </c>
      <c r="W10" s="6" t="b">
        <v>0</v>
      </c>
    </row>
    <row r="11">
      <c r="A11" s="6" t="inlineStr">
        <is>
          <t>E167</t>
        </is>
      </c>
      <c r="B11" s="6" t="n">
        <v>0.02005104304122679</v>
      </c>
      <c r="C11" s="6" t="inlineStr">
        <is>
          <t>A</t>
        </is>
      </c>
      <c r="D11" s="6" t="n">
        <v>0.6025061412332869</v>
      </c>
      <c r="E11" s="6" t="n">
        <v>0.1394121375836802</v>
      </c>
      <c r="F11" s="6" t="n">
        <v>0.2113156397365233</v>
      </c>
      <c r="G11" s="6" t="n">
        <v>10</v>
      </c>
      <c r="H11" s="6" t="n">
        <v>220</v>
      </c>
      <c r="I11" s="6" t="inlineStr">
        <is>
          <t>***体育文化股份有限公司</t>
        </is>
      </c>
      <c r="J11" s="6" t="b">
        <v>0</v>
      </c>
      <c r="K11" s="6" t="n">
        <v>100</v>
      </c>
      <c r="L11" s="6" t="n">
        <v>0.0745</v>
      </c>
      <c r="M11" s="6" t="n">
        <v>0.511096611982035</v>
      </c>
      <c r="N11" s="6" t="n">
        <v>0.01758857877692621</v>
      </c>
      <c r="O11" s="6" t="inlineStr"/>
      <c r="P11" s="6" t="n">
        <v>0.488903388017965</v>
      </c>
      <c r="Q11" s="6" t="n">
        <v>48.8903388017965</v>
      </c>
      <c r="R11" s="6" t="n">
        <v>7.449999999999999</v>
      </c>
      <c r="S11" s="6" t="n">
        <v>3.569297720306523</v>
      </c>
      <c r="T11" s="6" t="n">
        <v>0.5881813725689891</v>
      </c>
      <c r="U11" s="6" t="n">
        <v>1.222258470044912</v>
      </c>
      <c r="V11" s="9">
        <f>K11*(1-M11)*((1-B11)*L11-B11*'模型说明与假设'!$B$7-'模型说明与假设'!$B$8)</f>
        <v/>
      </c>
      <c r="W11" s="6" t="b">
        <v>0</v>
      </c>
    </row>
    <row r="12">
      <c r="A12" s="6" t="inlineStr">
        <is>
          <t>E273</t>
        </is>
      </c>
      <c r="B12" s="6" t="n">
        <v>0.02065041060301468</v>
      </c>
      <c r="C12" s="6" t="inlineStr">
        <is>
          <t>A</t>
        </is>
      </c>
      <c r="D12" s="6" t="n">
        <v>0.7417846449767738</v>
      </c>
      <c r="E12" s="6" t="n">
        <v>0.08052395012531177</v>
      </c>
      <c r="F12" s="6" t="n">
        <v>0.2313240812129822</v>
      </c>
      <c r="G12" s="6" t="n">
        <v>11</v>
      </c>
      <c r="H12" s="6" t="n">
        <v>49</v>
      </c>
      <c r="I12" s="6" t="inlineStr">
        <is>
          <t xml:space="preserve">个体经营E273 </t>
        </is>
      </c>
      <c r="J12" s="6" t="b">
        <v>0</v>
      </c>
      <c r="K12" s="6" t="n">
        <v>100</v>
      </c>
      <c r="L12" s="6" t="n">
        <v>0.0745</v>
      </c>
      <c r="M12" s="6" t="n">
        <v>0.511096611982035</v>
      </c>
      <c r="N12" s="6" t="n">
        <v>0.01739092813199437</v>
      </c>
      <c r="O12" s="6" t="inlineStr"/>
      <c r="P12" s="6" t="n">
        <v>0.488903388017965</v>
      </c>
      <c r="Q12" s="6" t="n">
        <v>48.8903388017965</v>
      </c>
      <c r="R12" s="6" t="n">
        <v>7.449999999999999</v>
      </c>
      <c r="S12" s="6" t="n">
        <v>3.567114625710908</v>
      </c>
      <c r="T12" s="6" t="n">
        <v>0.6057633424665591</v>
      </c>
      <c r="U12" s="6" t="n">
        <v>1.222258470044912</v>
      </c>
      <c r="V12" s="9">
        <f>K12*(1-M12)*((1-B12)*L12-B12*'模型说明与假设'!$B$7-'模型说明与假设'!$B$8)</f>
        <v/>
      </c>
      <c r="W12" s="6" t="b">
        <v>0</v>
      </c>
    </row>
    <row r="13">
      <c r="A13" s="6" t="inlineStr">
        <is>
          <t>E197</t>
        </is>
      </c>
      <c r="B13" s="6" t="n">
        <v>0.02129939826871391</v>
      </c>
      <c r="C13" s="6" t="inlineStr">
        <is>
          <t>A</t>
        </is>
      </c>
      <c r="D13" s="6" t="n">
        <v>0.8135203583378118</v>
      </c>
      <c r="E13" s="6" t="n">
        <v>0.05554982138746382</v>
      </c>
      <c r="F13" s="6" t="n">
        <v>0.2423369661048324</v>
      </c>
      <c r="G13" s="6" t="n">
        <v>12</v>
      </c>
      <c r="H13" s="6" t="n">
        <v>2</v>
      </c>
      <c r="I13" s="6" t="inlineStr">
        <is>
          <t>***医疗设备有限公司</t>
        </is>
      </c>
      <c r="J13" s="6" t="b">
        <v>0</v>
      </c>
      <c r="K13" s="6" t="n">
        <v>100</v>
      </c>
      <c r="L13" s="6" t="n">
        <v>0.0745</v>
      </c>
      <c r="M13" s="6" t="n">
        <v>0.511096611982035</v>
      </c>
      <c r="N13" s="6" t="n">
        <v>0.01717691449686263</v>
      </c>
      <c r="O13" s="6" t="inlineStr"/>
      <c r="P13" s="6" t="n">
        <v>0.488903388017965</v>
      </c>
      <c r="Q13" s="6" t="n">
        <v>48.8903388017965</v>
      </c>
      <c r="R13" s="6" t="n">
        <v>7.449999999999999</v>
      </c>
      <c r="S13" s="6" t="n">
        <v>3.564750798310268</v>
      </c>
      <c r="T13" s="6" t="n">
        <v>0.6248008785790926</v>
      </c>
      <c r="U13" s="6" t="n">
        <v>1.222258470044912</v>
      </c>
      <c r="V13" s="9">
        <f>K13*(1-M13)*((1-B13)*L13-B13*'模型说明与假设'!$B$7-'模型说明与假设'!$B$8)</f>
        <v/>
      </c>
      <c r="W13" s="6" t="b">
        <v>0</v>
      </c>
    </row>
    <row r="14">
      <c r="A14" s="6" t="inlineStr">
        <is>
          <t>E171</t>
        </is>
      </c>
      <c r="B14" s="6" t="n">
        <v>0.02190552089168732</v>
      </c>
      <c r="C14" s="6" t="inlineStr">
        <is>
          <t>A</t>
        </is>
      </c>
      <c r="D14" s="6" t="n">
        <v>0.7872548722134433</v>
      </c>
      <c r="E14" s="6" t="n">
        <v>0.06405675276918882</v>
      </c>
      <c r="F14" s="6" t="n">
        <v>0.237039462385763</v>
      </c>
      <c r="G14" s="6" t="n">
        <v>13</v>
      </c>
      <c r="H14" s="6" t="n">
        <v>6</v>
      </c>
      <c r="I14" s="6" t="inlineStr">
        <is>
          <t>***质量检验测试站</t>
        </is>
      </c>
      <c r="J14" s="6" t="b">
        <v>0</v>
      </c>
      <c r="K14" s="6" t="n">
        <v>100</v>
      </c>
      <c r="L14" s="6" t="n">
        <v>0.0745</v>
      </c>
      <c r="M14" s="6" t="n">
        <v>0.511096611982035</v>
      </c>
      <c r="N14" s="6" t="n">
        <v>0.01697703626691453</v>
      </c>
      <c r="O14" s="6" t="inlineStr"/>
      <c r="P14" s="6" t="n">
        <v>0.488903388017965</v>
      </c>
      <c r="Q14" s="6" t="n">
        <v>48.8903388017965</v>
      </c>
      <c r="R14" s="6" t="n">
        <v>7.449999999999999</v>
      </c>
      <c r="S14" s="6" t="n">
        <v>3.562543099551019</v>
      </c>
      <c r="T14" s="6" t="n">
        <v>0.6425810028146545</v>
      </c>
      <c r="U14" s="6" t="n">
        <v>1.222258470044912</v>
      </c>
      <c r="V14" s="9">
        <f>K14*(1-M14)*((1-B14)*L14-B14*'模型说明与假设'!$B$7-'模型说明与假设'!$B$8)</f>
        <v/>
      </c>
      <c r="W14" s="6" t="b">
        <v>0</v>
      </c>
    </row>
    <row r="15">
      <c r="A15" s="6" t="inlineStr">
        <is>
          <t>E195</t>
        </is>
      </c>
      <c r="B15" s="6" t="n">
        <v>0.02261122034088277</v>
      </c>
      <c r="C15" s="6" t="inlineStr">
        <is>
          <t>A</t>
        </is>
      </c>
      <c r="D15" s="6" t="n">
        <v>0.7492865078729684</v>
      </c>
      <c r="E15" s="6" t="n">
        <v>0.07822528268947267</v>
      </c>
      <c r="F15" s="6" t="n">
        <v>0.233785379464431</v>
      </c>
      <c r="G15" s="6" t="n">
        <v>14</v>
      </c>
      <c r="H15" s="6" t="n">
        <v>37</v>
      </c>
      <c r="I15" s="6" t="inlineStr">
        <is>
          <t>***医药有限公司</t>
        </is>
      </c>
      <c r="J15" s="6" t="b">
        <v>0</v>
      </c>
      <c r="K15" s="6" t="n">
        <v>100</v>
      </c>
      <c r="L15" s="6" t="n">
        <v>0.0985</v>
      </c>
      <c r="M15" s="6" t="n">
        <v>0.708302023264193</v>
      </c>
      <c r="N15" s="6" t="n">
        <v>0.01683274170344514</v>
      </c>
      <c r="O15" s="6" t="inlineStr"/>
      <c r="P15" s="6" t="n">
        <v>0.291697976735807</v>
      </c>
      <c r="Q15" s="6" t="n">
        <v>29.1697976735807</v>
      </c>
      <c r="R15" s="6" t="n">
        <v>9.85</v>
      </c>
      <c r="S15" s="6" t="n">
        <v>2.808257945681813</v>
      </c>
      <c r="T15" s="6" t="n">
        <v>0.3957388334977818</v>
      </c>
      <c r="U15" s="6" t="n">
        <v>0.7292449418395175</v>
      </c>
      <c r="V15" s="9">
        <f>K15*(1-M15)*((1-B15)*L15-B15*'模型说明与假设'!$B$7-'模型说明与假设'!$B$8)</f>
        <v/>
      </c>
      <c r="W15" s="6" t="b">
        <v>0</v>
      </c>
    </row>
    <row r="16">
      <c r="A16" s="6" t="inlineStr">
        <is>
          <t>E127</t>
        </is>
      </c>
      <c r="B16" s="6" t="n">
        <v>0.02263237919955923</v>
      </c>
      <c r="C16" s="6" t="inlineStr">
        <is>
          <t>A</t>
        </is>
      </c>
      <c r="D16" s="6" t="n">
        <v>0.7437499037576402</v>
      </c>
      <c r="E16" s="6" t="n">
        <v>0.08425720383960886</v>
      </c>
      <c r="F16" s="6" t="n">
        <v>0.2445512730162159</v>
      </c>
      <c r="G16" s="6" t="n">
        <v>15</v>
      </c>
      <c r="H16" s="6" t="n">
        <v>47</v>
      </c>
      <c r="I16" s="6" t="inlineStr">
        <is>
          <t xml:space="preserve">个体经营E127 </t>
        </is>
      </c>
      <c r="J16" s="6" t="b">
        <v>0</v>
      </c>
      <c r="K16" s="6" t="n">
        <v>100</v>
      </c>
      <c r="L16" s="6" t="n">
        <v>0.0985</v>
      </c>
      <c r="M16" s="6" t="n">
        <v>0.708302023264193</v>
      </c>
      <c r="N16" s="6" t="n">
        <v>0.01682843056405336</v>
      </c>
      <c r="O16" s="6" t="inlineStr"/>
      <c r="P16" s="6" t="n">
        <v>0.291697976735807</v>
      </c>
      <c r="Q16" s="6" t="n">
        <v>29.1697976735807</v>
      </c>
      <c r="R16" s="6" t="n">
        <v>9.85</v>
      </c>
      <c r="S16" s="6" t="n">
        <v>2.808197151518594</v>
      </c>
      <c r="T16" s="6" t="n">
        <v>0.3961091532737395</v>
      </c>
      <c r="U16" s="6" t="n">
        <v>0.7292449418395175</v>
      </c>
      <c r="V16" s="9">
        <f>K16*(1-M16)*((1-B16)*L16-B16*'模型说明与假设'!$B$7-'模型说明与假设'!$B$8)</f>
        <v/>
      </c>
      <c r="W16" s="6" t="b">
        <v>0</v>
      </c>
    </row>
    <row r="17">
      <c r="A17" s="6" t="inlineStr">
        <is>
          <t>E185</t>
        </is>
      </c>
      <c r="B17" s="6" t="n">
        <v>0.02443992173750735</v>
      </c>
      <c r="C17" s="6" t="inlineStr">
        <is>
          <t>A</t>
        </is>
      </c>
      <c r="D17" s="6" t="n">
        <v>0.6951935689076699</v>
      </c>
      <c r="E17" s="6" t="n">
        <v>0.09786647204268893</v>
      </c>
      <c r="F17" s="6" t="n">
        <v>0.2232109792826206</v>
      </c>
      <c r="G17" s="6" t="n">
        <v>16</v>
      </c>
      <c r="H17" s="6" t="n">
        <v>121</v>
      </c>
      <c r="I17" s="6" t="inlineStr">
        <is>
          <t>***生态魔芋有限公司</t>
        </is>
      </c>
      <c r="J17" s="6" t="b">
        <v>0</v>
      </c>
      <c r="K17" s="6" t="n">
        <v>100</v>
      </c>
      <c r="L17" s="6" t="n">
        <v>0.0985</v>
      </c>
      <c r="M17" s="6" t="n">
        <v>0.708302023264193</v>
      </c>
      <c r="N17" s="6" t="n">
        <v>0.01646014189797678</v>
      </c>
      <c r="O17" s="6" t="inlineStr"/>
      <c r="P17" s="6" t="n">
        <v>0.291697976735807</v>
      </c>
      <c r="Q17" s="6" t="n">
        <v>29.1697976735807</v>
      </c>
      <c r="R17" s="6" t="n">
        <v>9.85</v>
      </c>
      <c r="S17" s="6" t="n">
        <v>2.803003674981937</v>
      </c>
      <c r="T17" s="6" t="n">
        <v>0.4277445433447418</v>
      </c>
      <c r="U17" s="6" t="n">
        <v>0.7292449418395175</v>
      </c>
      <c r="V17" s="9">
        <f>K17*(1-M17)*((1-B17)*L17-B17*'模型说明与假设'!$B$7-'模型说明与假设'!$B$8)</f>
        <v/>
      </c>
      <c r="W17" s="6" t="b">
        <v>0</v>
      </c>
    </row>
    <row r="18">
      <c r="A18" s="6" t="inlineStr">
        <is>
          <t>E152</t>
        </is>
      </c>
      <c r="B18" s="6" t="n">
        <v>0.02544519495368758</v>
      </c>
      <c r="C18" s="6" t="inlineStr">
        <is>
          <t>A</t>
        </is>
      </c>
      <c r="D18" s="6" t="n">
        <v>0.7412633640736952</v>
      </c>
      <c r="E18" s="6" t="n">
        <v>0.08347300923994008</v>
      </c>
      <c r="F18" s="6" t="n">
        <v>0.2391446554023237</v>
      </c>
      <c r="G18" s="6" t="n">
        <v>17</v>
      </c>
      <c r="H18" s="6" t="n">
        <v>50</v>
      </c>
      <c r="I18" s="6" t="inlineStr">
        <is>
          <t>***运贸有限责任公司</t>
        </is>
      </c>
      <c r="J18" s="6" t="b">
        <v>0</v>
      </c>
      <c r="K18" s="6" t="n">
        <v>100</v>
      </c>
      <c r="L18" s="6" t="n">
        <v>0.0985</v>
      </c>
      <c r="M18" s="6" t="n">
        <v>0.708302023264193</v>
      </c>
      <c r="N18" s="6" t="n">
        <v>0.01625531643796309</v>
      </c>
      <c r="O18" s="6" t="inlineStr"/>
      <c r="P18" s="6" t="n">
        <v>0.291697976735807</v>
      </c>
      <c r="Q18" s="6" t="n">
        <v>29.1697976735807</v>
      </c>
      <c r="R18" s="6" t="n">
        <v>9.85</v>
      </c>
      <c r="S18" s="6" t="n">
        <v>2.800115298774156</v>
      </c>
      <c r="T18" s="6" t="n">
        <v>0.44533871313833</v>
      </c>
      <c r="U18" s="6" t="n">
        <v>0.7292449418395175</v>
      </c>
      <c r="V18" s="9">
        <f>K18*(1-M18)*((1-B18)*L18-B18*'模型说明与假设'!$B$7-'模型说明与假设'!$B$8)</f>
        <v/>
      </c>
      <c r="W18" s="6" t="b">
        <v>0</v>
      </c>
    </row>
    <row r="19">
      <c r="A19" s="6" t="inlineStr">
        <is>
          <t>E126</t>
        </is>
      </c>
      <c r="B19" s="6" t="n">
        <v>0.02545191671898553</v>
      </c>
      <c r="C19" s="6" t="inlineStr">
        <is>
          <t>A</t>
        </is>
      </c>
      <c r="D19" s="6" t="n">
        <v>0.7751736769529918</v>
      </c>
      <c r="E19" s="6" t="n">
        <v>0.06997730050238775</v>
      </c>
      <c r="F19" s="6" t="n">
        <v>0.2412731774398966</v>
      </c>
      <c r="G19" s="6" t="n">
        <v>18</v>
      </c>
      <c r="H19" s="6" t="n">
        <v>14</v>
      </c>
      <c r="I19" s="6" t="inlineStr">
        <is>
          <t xml:space="preserve">个体经营E126 </t>
        </is>
      </c>
      <c r="J19" s="6" t="b">
        <v>0</v>
      </c>
      <c r="K19" s="6" t="n">
        <v>100</v>
      </c>
      <c r="L19" s="6" t="n">
        <v>0.0985</v>
      </c>
      <c r="M19" s="6" t="n">
        <v>0.708302023264193</v>
      </c>
      <c r="N19" s="6" t="n">
        <v>0.01625394687131484</v>
      </c>
      <c r="O19" s="6" t="inlineStr"/>
      <c r="P19" s="6" t="n">
        <v>0.291697976735807</v>
      </c>
      <c r="Q19" s="6" t="n">
        <v>29.1697976735807</v>
      </c>
      <c r="R19" s="6" t="n">
        <v>9.85</v>
      </c>
      <c r="S19" s="6" t="n">
        <v>2.800095985629582</v>
      </c>
      <c r="T19" s="6" t="n">
        <v>0.4454563566585804</v>
      </c>
      <c r="U19" s="6" t="n">
        <v>0.7292449418395175</v>
      </c>
      <c r="V19" s="9">
        <f>K19*(1-M19)*((1-B19)*L19-B19*'模型说明与假设'!$B$7-'模型说明与假设'!$B$8)</f>
        <v/>
      </c>
      <c r="W19" s="6" t="b">
        <v>0</v>
      </c>
    </row>
    <row r="20">
      <c r="A20" s="6" t="inlineStr">
        <is>
          <t>E124</t>
        </is>
      </c>
      <c r="B20" s="6" t="n">
        <v>0.02666265919539959</v>
      </c>
      <c r="C20" s="6" t="inlineStr">
        <is>
          <t>A</t>
        </is>
      </c>
      <c r="D20" s="6" t="n">
        <v>0.5895174730806948</v>
      </c>
      <c r="E20" s="6" t="n">
        <v>0.1444806079168198</v>
      </c>
      <c r="F20" s="6" t="n">
        <v>0.2074968781924063</v>
      </c>
      <c r="G20" s="6" t="n">
        <v>19</v>
      </c>
      <c r="H20" s="6" t="n">
        <v>232</v>
      </c>
      <c r="I20" s="6" t="inlineStr">
        <is>
          <t xml:space="preserve">个体经营E124 </t>
        </is>
      </c>
      <c r="J20" s="6" t="b">
        <v>0</v>
      </c>
      <c r="K20" s="6" t="n">
        <v>100</v>
      </c>
      <c r="L20" s="6" t="n">
        <v>0.0985</v>
      </c>
      <c r="M20" s="6" t="n">
        <v>0.708302023264193</v>
      </c>
      <c r="N20" s="6" t="n">
        <v>0.01600725683650826</v>
      </c>
      <c r="O20" s="6" t="inlineStr"/>
      <c r="P20" s="6" t="n">
        <v>0.291697976735807</v>
      </c>
      <c r="Q20" s="6" t="n">
        <v>29.1697976735807</v>
      </c>
      <c r="R20" s="6" t="n">
        <v>9.85</v>
      </c>
      <c r="S20" s="6" t="n">
        <v>2.796617249992009</v>
      </c>
      <c r="T20" s="6" t="n">
        <v>0.4666466245016652</v>
      </c>
      <c r="U20" s="6" t="n">
        <v>0.7292449418395175</v>
      </c>
      <c r="V20" s="9">
        <f>K20*(1-M20)*((1-B20)*L20-B20*'模型说明与假设'!$B$7-'模型说明与假设'!$B$8)</f>
        <v/>
      </c>
      <c r="W20" s="6" t="b">
        <v>0</v>
      </c>
    </row>
    <row r="21">
      <c r="A21" s="6" t="inlineStr">
        <is>
          <t>E125</t>
        </is>
      </c>
      <c r="B21" s="6" t="n">
        <v>0.02672265492519788</v>
      </c>
      <c r="C21" s="6" t="inlineStr">
        <is>
          <t>A</t>
        </is>
      </c>
      <c r="D21" s="6" t="n">
        <v>0.7403068159352404</v>
      </c>
      <c r="E21" s="6" t="n">
        <v>0.08141147495041717</v>
      </c>
      <c r="F21" s="6" t="n">
        <v>0.232079521140245</v>
      </c>
      <c r="G21" s="6" t="n">
        <v>20</v>
      </c>
      <c r="H21" s="6" t="n">
        <v>51</v>
      </c>
      <c r="I21" s="6" t="inlineStr">
        <is>
          <t xml:space="preserve">个体经营E125 </t>
        </is>
      </c>
      <c r="J21" s="6" t="b">
        <v>0</v>
      </c>
      <c r="K21" s="6" t="n">
        <v>100</v>
      </c>
      <c r="L21" s="6" t="n">
        <v>0.0985</v>
      </c>
      <c r="M21" s="6" t="n">
        <v>0.708302023264193</v>
      </c>
      <c r="N21" s="6" t="n">
        <v>0.01599503264436129</v>
      </c>
      <c r="O21" s="6" t="inlineStr"/>
      <c r="P21" s="6" t="n">
        <v>0.291697976735807</v>
      </c>
      <c r="Q21" s="6" t="n">
        <v>29.1697976735807</v>
      </c>
      <c r="R21" s="6" t="n">
        <v>9.85</v>
      </c>
      <c r="S21" s="6" t="n">
        <v>2.796444868757009</v>
      </c>
      <c r="T21" s="6" t="n">
        <v>0.4676966624813621</v>
      </c>
      <c r="U21" s="6" t="n">
        <v>0.7292449418395175</v>
      </c>
      <c r="V21" s="9">
        <f>K21*(1-M21)*((1-B21)*L21-B21*'模型说明与假设'!$B$7-'模型说明与假设'!$B$8)</f>
        <v/>
      </c>
      <c r="W21" s="6" t="b">
        <v>0</v>
      </c>
    </row>
    <row r="22">
      <c r="A22" s="6" t="inlineStr">
        <is>
          <t>E176</t>
        </is>
      </c>
      <c r="B22" s="6" t="n">
        <v>0.02692041333978598</v>
      </c>
      <c r="C22" s="6" t="inlineStr">
        <is>
          <t>A</t>
        </is>
      </c>
      <c r="D22" s="6" t="n">
        <v>0.7806131248989533</v>
      </c>
      <c r="E22" s="6" t="n">
        <v>0.06793207212386718</v>
      </c>
      <c r="F22" s="6" t="n">
        <v>0.2417130335488334</v>
      </c>
      <c r="G22" s="6" t="n">
        <v>21</v>
      </c>
      <c r="H22" s="6" t="n">
        <v>8</v>
      </c>
      <c r="I22" s="6" t="inlineStr">
        <is>
          <t>***科技有限公司</t>
        </is>
      </c>
      <c r="J22" s="6" t="b">
        <v>0</v>
      </c>
      <c r="K22" s="6" t="n">
        <v>100</v>
      </c>
      <c r="L22" s="6" t="n">
        <v>0.0985</v>
      </c>
      <c r="M22" s="6" t="n">
        <v>0.708302023264193</v>
      </c>
      <c r="N22" s="6" t="n">
        <v>0.01595473916236293</v>
      </c>
      <c r="O22" s="6" t="inlineStr"/>
      <c r="P22" s="6" t="n">
        <v>0.291697976735807</v>
      </c>
      <c r="Q22" s="6" t="n">
        <v>29.1697976735807</v>
      </c>
      <c r="R22" s="6" t="n">
        <v>9.85</v>
      </c>
      <c r="S22" s="6" t="n">
        <v>2.795876664322243</v>
      </c>
      <c r="T22" s="6" t="n">
        <v>0.4711578062464319</v>
      </c>
      <c r="U22" s="6" t="n">
        <v>0.7292449418395175</v>
      </c>
      <c r="V22" s="9">
        <f>K22*(1-M22)*((1-B22)*L22-B22*'模型说明与假设'!$B$7-'模型说明与假设'!$B$8)</f>
        <v/>
      </c>
      <c r="W22" s="6" t="b">
        <v>0</v>
      </c>
    </row>
    <row r="23">
      <c r="A23" s="6" t="inlineStr">
        <is>
          <t>E132</t>
        </is>
      </c>
      <c r="B23" s="6" t="n">
        <v>0.02837542524226984</v>
      </c>
      <c r="C23" s="6" t="inlineStr">
        <is>
          <t>A</t>
        </is>
      </c>
      <c r="D23" s="6" t="n">
        <v>0.7788442135414388</v>
      </c>
      <c r="E23" s="6" t="n">
        <v>0.06823028670631036</v>
      </c>
      <c r="F23" s="6" t="n">
        <v>0.2402865637858423</v>
      </c>
      <c r="G23" s="6" t="n">
        <v>22</v>
      </c>
      <c r="H23" s="6" t="n">
        <v>11</v>
      </c>
      <c r="I23" s="6" t="inlineStr">
        <is>
          <t xml:space="preserve">个体经营E132 </t>
        </is>
      </c>
      <c r="J23" s="6" t="b">
        <v>0</v>
      </c>
      <c r="K23" s="6" t="n">
        <v>100</v>
      </c>
      <c r="L23" s="6" t="n">
        <v>0.0985</v>
      </c>
      <c r="M23" s="6" t="n">
        <v>0.708302023264193</v>
      </c>
      <c r="N23" s="6" t="n">
        <v>0.01565827897874832</v>
      </c>
      <c r="O23" s="6" t="inlineStr"/>
      <c r="P23" s="6" t="n">
        <v>0.291697976735807</v>
      </c>
      <c r="Q23" s="6" t="n">
        <v>29.1697976735807</v>
      </c>
      <c r="R23" s="6" t="n">
        <v>9.85</v>
      </c>
      <c r="S23" s="6" t="n">
        <v>2.791696087645644</v>
      </c>
      <c r="T23" s="6" t="n">
        <v>0.4966232479312955</v>
      </c>
      <c r="U23" s="6" t="n">
        <v>0.7292449418395175</v>
      </c>
      <c r="V23" s="9">
        <f>K23*(1-M23)*((1-B23)*L23-B23*'模型说明与假设'!$B$7-'模型说明与假设'!$B$8)</f>
        <v/>
      </c>
      <c r="W23" s="6" t="b">
        <v>0</v>
      </c>
    </row>
    <row r="24">
      <c r="A24" s="6" t="inlineStr">
        <is>
          <t>E196</t>
        </is>
      </c>
      <c r="B24" s="6" t="n">
        <v>0.02950441186815578</v>
      </c>
      <c r="C24" s="6" t="inlineStr">
        <is>
          <t>A</t>
        </is>
      </c>
      <c r="D24" s="6" t="n">
        <v>0.7572938488334816</v>
      </c>
      <c r="E24" s="6" t="n">
        <v>0.0740356698750787</v>
      </c>
      <c r="F24" s="6" t="n">
        <v>0.2310067426028956</v>
      </c>
      <c r="G24" s="6" t="n">
        <v>23</v>
      </c>
      <c r="H24" s="6" t="n">
        <v>25</v>
      </c>
      <c r="I24" s="6" t="inlineStr">
        <is>
          <t>***地质制图印刷厂</t>
        </is>
      </c>
      <c r="J24" s="6" t="b">
        <v>0</v>
      </c>
      <c r="K24" s="6" t="n">
        <v>100</v>
      </c>
      <c r="L24" s="6" t="n">
        <v>0.0985</v>
      </c>
      <c r="M24" s="6" t="n">
        <v>0.708302023264193</v>
      </c>
      <c r="N24" s="6" t="n">
        <v>0.01542824678324721</v>
      </c>
      <c r="O24" s="6" t="inlineStr"/>
      <c r="P24" s="6" t="n">
        <v>0.291697976735807</v>
      </c>
      <c r="Q24" s="6" t="n">
        <v>29.1697976735807</v>
      </c>
      <c r="R24" s="6" t="n">
        <v>9.85</v>
      </c>
      <c r="S24" s="6" t="n">
        <v>2.788452254967497</v>
      </c>
      <c r="T24" s="6" t="n">
        <v>0.5163826348032584</v>
      </c>
      <c r="U24" s="6" t="n">
        <v>0.7292449418395175</v>
      </c>
      <c r="V24" s="9">
        <f>K24*(1-M24)*((1-B24)*L24-B24*'模型说明与假设'!$B$7-'模型说明与假设'!$B$8)</f>
        <v/>
      </c>
      <c r="W24" s="6" t="b">
        <v>0</v>
      </c>
    </row>
    <row r="25">
      <c r="A25" s="6" t="inlineStr">
        <is>
          <t>E173</t>
        </is>
      </c>
      <c r="B25" s="6" t="n">
        <v>0.03013138606303402</v>
      </c>
      <c r="C25" s="6" t="inlineStr">
        <is>
          <t>A</t>
        </is>
      </c>
      <c r="D25" s="6" t="n">
        <v>0.7377998274850279</v>
      </c>
      <c r="E25" s="6" t="n">
        <v>0.08005209825294156</v>
      </c>
      <c r="F25" s="6" t="n">
        <v>0.2252570000786793</v>
      </c>
      <c r="G25" s="6" t="n">
        <v>24</v>
      </c>
      <c r="H25" s="6" t="n">
        <v>55</v>
      </c>
      <c r="I25" s="6" t="inlineStr">
        <is>
          <t>***贸易有限责任公司</t>
        </is>
      </c>
      <c r="J25" s="6" t="b">
        <v>0</v>
      </c>
      <c r="K25" s="6" t="n">
        <v>100</v>
      </c>
      <c r="L25" s="6" t="n">
        <v>0.0985</v>
      </c>
      <c r="M25" s="6" t="n">
        <v>0.708302023264193</v>
      </c>
      <c r="N25" s="6" t="n">
        <v>0.0153005001410253</v>
      </c>
      <c r="O25" s="6" t="inlineStr"/>
      <c r="P25" s="6" t="n">
        <v>0.291697976735807</v>
      </c>
      <c r="Q25" s="6" t="n">
        <v>29.1697976735807</v>
      </c>
      <c r="R25" s="6" t="n">
        <v>9.85</v>
      </c>
      <c r="S25" s="6" t="n">
        <v>2.786650816991999</v>
      </c>
      <c r="T25" s="6" t="n">
        <v>0.527355861049951</v>
      </c>
      <c r="U25" s="6" t="n">
        <v>0.7292449418395175</v>
      </c>
      <c r="V25" s="9">
        <f>K25*(1-M25)*((1-B25)*L25-B25*'模型说明与假设'!$B$7-'模型说明与假设'!$B$8)</f>
        <v/>
      </c>
      <c r="W25" s="6" t="b">
        <v>0</v>
      </c>
    </row>
    <row r="26">
      <c r="A26" s="6" t="inlineStr">
        <is>
          <t>E145</t>
        </is>
      </c>
      <c r="B26" s="6" t="n">
        <v>0.03041075954799476</v>
      </c>
      <c r="C26" s="6" t="inlineStr">
        <is>
          <t>A</t>
        </is>
      </c>
      <c r="D26" s="6" t="n">
        <v>0.7572415285191874</v>
      </c>
      <c r="E26" s="6" t="n">
        <v>0.07324556475984055</v>
      </c>
      <c r="F26" s="6" t="n">
        <v>0.2284764073429118</v>
      </c>
      <c r="G26" s="6" t="n">
        <v>25</v>
      </c>
      <c r="H26" s="6" t="n">
        <v>26</v>
      </c>
      <c r="I26" s="6" t="inlineStr">
        <is>
          <t>***工贸有限公司</t>
        </is>
      </c>
      <c r="J26" s="6" t="b">
        <v>0</v>
      </c>
      <c r="K26" s="6" t="n">
        <v>100</v>
      </c>
      <c r="L26" s="6" t="n">
        <v>0.0985</v>
      </c>
      <c r="M26" s="6" t="n">
        <v>0.708302023264193</v>
      </c>
      <c r="N26" s="6" t="n">
        <v>0.0152435775038241</v>
      </c>
      <c r="O26" s="6" t="inlineStr"/>
      <c r="P26" s="6" t="n">
        <v>0.291697976735807</v>
      </c>
      <c r="Q26" s="6" t="n">
        <v>29.1697976735807</v>
      </c>
      <c r="R26" s="6" t="n">
        <v>9.85</v>
      </c>
      <c r="S26" s="6" t="n">
        <v>2.78584811409088</v>
      </c>
      <c r="T26" s="6" t="n">
        <v>0.5322454218689516</v>
      </c>
      <c r="U26" s="6" t="n">
        <v>0.7292449418395175</v>
      </c>
      <c r="V26" s="9">
        <f>K26*(1-M26)*((1-B26)*L26-B26*'模型说明与假设'!$B$7-'模型说明与假设'!$B$8)</f>
        <v/>
      </c>
      <c r="W26" s="6" t="b">
        <v>0</v>
      </c>
    </row>
    <row r="27">
      <c r="A27" s="6" t="inlineStr">
        <is>
          <t>E147</t>
        </is>
      </c>
      <c r="B27" s="6" t="n">
        <v>0.03175399065945604</v>
      </c>
      <c r="C27" s="6" t="inlineStr">
        <is>
          <t>A</t>
        </is>
      </c>
      <c r="D27" s="6" t="n">
        <v>0.7452530364215859</v>
      </c>
      <c r="E27" s="6" t="n">
        <v>0.07899200745174487</v>
      </c>
      <c r="F27" s="6" t="n">
        <v>0.2310882633477545</v>
      </c>
      <c r="G27" s="6" t="n">
        <v>26</v>
      </c>
      <c r="H27" s="6" t="n">
        <v>45</v>
      </c>
      <c r="I27" s="6" t="inlineStr">
        <is>
          <t>***装饰工程有限责任公司</t>
        </is>
      </c>
      <c r="J27" s="6" t="b">
        <v>0</v>
      </c>
      <c r="K27" s="6" t="n">
        <v>100</v>
      </c>
      <c r="L27" s="6" t="n">
        <v>0.0985</v>
      </c>
      <c r="M27" s="6" t="n">
        <v>0.708302023264193</v>
      </c>
      <c r="N27" s="6" t="n">
        <v>0.01496989277226906</v>
      </c>
      <c r="O27" s="6" t="inlineStr"/>
      <c r="P27" s="6" t="n">
        <v>0.291697976735807</v>
      </c>
      <c r="Q27" s="6" t="n">
        <v>29.1697976735807</v>
      </c>
      <c r="R27" s="6" t="n">
        <v>9.85</v>
      </c>
      <c r="S27" s="6" t="n">
        <v>2.781988708785486</v>
      </c>
      <c r="T27" s="6" t="n">
        <v>0.5557544897190625</v>
      </c>
      <c r="U27" s="6" t="n">
        <v>0.7292449418395175</v>
      </c>
      <c r="V27" s="9">
        <f>K27*(1-M27)*((1-B27)*L27-B27*'模型说明与假设'!$B$7-'模型说明与假设'!$B$8)</f>
        <v/>
      </c>
      <c r="W27" s="6" t="b">
        <v>0</v>
      </c>
    </row>
    <row r="28">
      <c r="A28" s="6" t="inlineStr">
        <is>
          <t>E165</t>
        </is>
      </c>
      <c r="B28" s="6" t="n">
        <v>0.03236858187002331</v>
      </c>
      <c r="C28" s="6" t="inlineStr">
        <is>
          <t>A</t>
        </is>
      </c>
      <c r="D28" s="6" t="n">
        <v>0.7480970497862371</v>
      </c>
      <c r="E28" s="6" t="n">
        <v>0.07735218303093362</v>
      </c>
      <c r="F28" s="6" t="n">
        <v>0.2297191830062374</v>
      </c>
      <c r="G28" s="6" t="n">
        <v>27</v>
      </c>
      <c r="H28" s="6" t="n">
        <v>40</v>
      </c>
      <c r="I28" s="6" t="inlineStr">
        <is>
          <t>***文化传媒股份有限公司</t>
        </is>
      </c>
      <c r="J28" s="6" t="b">
        <v>0</v>
      </c>
      <c r="K28" s="6" t="n">
        <v>100</v>
      </c>
      <c r="L28" s="6" t="n">
        <v>0.0985</v>
      </c>
      <c r="M28" s="6" t="n">
        <v>0.708302023264193</v>
      </c>
      <c r="N28" s="6" t="n">
        <v>0.01484466917593857</v>
      </c>
      <c r="O28" s="6" t="inlineStr"/>
      <c r="P28" s="6" t="n">
        <v>0.291697976735807</v>
      </c>
      <c r="Q28" s="6" t="n">
        <v>29.1697976735807</v>
      </c>
      <c r="R28" s="6" t="n">
        <v>9.85</v>
      </c>
      <c r="S28" s="6" t="n">
        <v>2.780222849910961</v>
      </c>
      <c r="T28" s="6" t="n">
        <v>0.5665109904775875</v>
      </c>
      <c r="U28" s="6" t="n">
        <v>0.7292449418395175</v>
      </c>
      <c r="V28" s="9">
        <f>K28*(1-M28)*((1-B28)*L28-B28*'模型说明与假设'!$B$7-'模型说明与假设'!$B$8)</f>
        <v/>
      </c>
      <c r="W28" s="6" t="b">
        <v>0</v>
      </c>
    </row>
    <row r="29">
      <c r="A29" s="6" t="inlineStr">
        <is>
          <t>E180</t>
        </is>
      </c>
      <c r="B29" s="6" t="n">
        <v>0.03240215203423331</v>
      </c>
      <c r="C29" s="6" t="inlineStr">
        <is>
          <t>A</t>
        </is>
      </c>
      <c r="D29" s="6" t="n">
        <v>0.7652543669516544</v>
      </c>
      <c r="E29" s="6" t="n">
        <v>0.07049235305539783</v>
      </c>
      <c r="F29" s="6" t="n">
        <v>0.2298001471287483</v>
      </c>
      <c r="G29" s="6" t="n">
        <v>28</v>
      </c>
      <c r="H29" s="6" t="n">
        <v>17</v>
      </c>
      <c r="I29" s="6" t="inlineStr">
        <is>
          <t>***电气有限公司</t>
        </is>
      </c>
      <c r="J29" s="6" t="b">
        <v>0</v>
      </c>
      <c r="K29" s="6" t="n">
        <v>100</v>
      </c>
      <c r="L29" s="6" t="n">
        <v>0.0985</v>
      </c>
      <c r="M29" s="6" t="n">
        <v>0.708302023264193</v>
      </c>
      <c r="N29" s="6" t="n">
        <v>0.01483782922017691</v>
      </c>
      <c r="O29" s="6" t="inlineStr"/>
      <c r="P29" s="6" t="n">
        <v>0.291697976735807</v>
      </c>
      <c r="Q29" s="6" t="n">
        <v>29.1697976735807</v>
      </c>
      <c r="R29" s="6" t="n">
        <v>9.85</v>
      </c>
      <c r="S29" s="6" t="n">
        <v>2.780126395273521</v>
      </c>
      <c r="T29" s="6" t="n">
        <v>0.5670985314163122</v>
      </c>
      <c r="U29" s="6" t="n">
        <v>0.7292449418395175</v>
      </c>
      <c r="V29" s="9">
        <f>K29*(1-M29)*((1-B29)*L29-B29*'模型说明与假设'!$B$7-'模型说明与假设'!$B$8)</f>
        <v/>
      </c>
      <c r="W29" s="6" t="b">
        <v>0</v>
      </c>
    </row>
    <row r="30">
      <c r="A30" s="6" t="inlineStr">
        <is>
          <t>E225</t>
        </is>
      </c>
      <c r="B30" s="6" t="n">
        <v>0.03276129700566233</v>
      </c>
      <c r="C30" s="6" t="inlineStr">
        <is>
          <t>A</t>
        </is>
      </c>
      <c r="D30" s="6" t="n">
        <v>0.7650917562704983</v>
      </c>
      <c r="E30" s="6" t="n">
        <v>0.07136089663949927</v>
      </c>
      <c r="F30" s="6" t="n">
        <v>0.2324211056714616</v>
      </c>
      <c r="G30" s="6" t="n">
        <v>29</v>
      </c>
      <c r="H30" s="6" t="n">
        <v>18</v>
      </c>
      <c r="I30" s="6" t="inlineStr">
        <is>
          <t>***物业服务有限责任公司***分公司</t>
        </is>
      </c>
      <c r="J30" s="6" t="b">
        <v>0</v>
      </c>
      <c r="K30" s="6" t="n">
        <v>100</v>
      </c>
      <c r="L30" s="6" t="n">
        <v>0.0985</v>
      </c>
      <c r="M30" s="6" t="n">
        <v>0.708302023264193</v>
      </c>
      <c r="N30" s="6" t="n">
        <v>0.01476465305990472</v>
      </c>
      <c r="O30" s="6" t="inlineStr"/>
      <c r="P30" s="6" t="n">
        <v>0.291697976735807</v>
      </c>
      <c r="Q30" s="6" t="n">
        <v>29.1697976735807</v>
      </c>
      <c r="R30" s="6" t="n">
        <v>9.85</v>
      </c>
      <c r="S30" s="6" t="n">
        <v>2.779094490937542</v>
      </c>
      <c r="T30" s="6" t="n">
        <v>0.5733842431075532</v>
      </c>
      <c r="U30" s="6" t="n">
        <v>0.7292449418395175</v>
      </c>
      <c r="V30" s="9">
        <f>K30*(1-M30)*((1-B30)*L30-B30*'模型说明与假设'!$B$7-'模型说明与假设'!$B$8)</f>
        <v/>
      </c>
      <c r="W30" s="6" t="b">
        <v>0</v>
      </c>
    </row>
    <row r="31">
      <c r="A31" s="6" t="inlineStr">
        <is>
          <t>E256</t>
        </is>
      </c>
      <c r="B31" s="6" t="n">
        <v>0.0330096940278149</v>
      </c>
      <c r="C31" s="6" t="inlineStr">
        <is>
          <t>A</t>
        </is>
      </c>
      <c r="D31" s="6" t="n">
        <v>0.7265149432915473</v>
      </c>
      <c r="E31" s="6" t="n">
        <v>0.08652348868398056</v>
      </c>
      <c r="F31" s="6" t="n">
        <v>0.2298502456813982</v>
      </c>
      <c r="G31" s="6" t="n">
        <v>30</v>
      </c>
      <c r="H31" s="6" t="n">
        <v>69</v>
      </c>
      <c r="I31" s="6" t="inlineStr">
        <is>
          <t>***物资有限公司</t>
        </is>
      </c>
      <c r="J31" s="6" t="b">
        <v>0</v>
      </c>
      <c r="K31" s="6" t="n">
        <v>100</v>
      </c>
      <c r="L31" s="6" t="n">
        <v>0.0985</v>
      </c>
      <c r="M31" s="6" t="n">
        <v>0.708302023264193</v>
      </c>
      <c r="N31" s="6" t="n">
        <v>0.01471404190911552</v>
      </c>
      <c r="O31" s="6" t="inlineStr"/>
      <c r="P31" s="6" t="n">
        <v>0.291697976735807</v>
      </c>
      <c r="Q31" s="6" t="n">
        <v>29.1697976735807</v>
      </c>
      <c r="R31" s="6" t="n">
        <v>9.85</v>
      </c>
      <c r="S31" s="6" t="n">
        <v>2.778380790385969</v>
      </c>
      <c r="T31" s="6" t="n">
        <v>0.5777316576348995</v>
      </c>
      <c r="U31" s="6" t="n">
        <v>0.7292449418395175</v>
      </c>
      <c r="V31" s="9">
        <f>K31*(1-M31)*((1-B31)*L31-B31*'模型说明与假设'!$B$7-'模型说明与假设'!$B$8)</f>
        <v/>
      </c>
      <c r="W31" s="6" t="b">
        <v>0</v>
      </c>
    </row>
    <row r="32">
      <c r="A32" s="6" t="inlineStr">
        <is>
          <t>E169</t>
        </is>
      </c>
      <c r="B32" s="6" t="n">
        <v>0.03306335910622766</v>
      </c>
      <c r="C32" s="6" t="inlineStr">
        <is>
          <t>A</t>
        </is>
      </c>
      <c r="D32" s="6" t="n">
        <v>0.7789189854574879</v>
      </c>
      <c r="E32" s="6" t="n">
        <v>0.06580557131361904</v>
      </c>
      <c r="F32" s="6" t="n">
        <v>0.2318480804474424</v>
      </c>
      <c r="G32" s="6" t="n">
        <v>31</v>
      </c>
      <c r="H32" s="6" t="n">
        <v>10</v>
      </c>
      <c r="I32" s="6" t="inlineStr">
        <is>
          <t>***建筑设计有限公司</t>
        </is>
      </c>
      <c r="J32" s="6" t="b">
        <v>0</v>
      </c>
      <c r="K32" s="6" t="n">
        <v>100</v>
      </c>
      <c r="L32" s="6" t="n">
        <v>0.0985</v>
      </c>
      <c r="M32" s="6" t="n">
        <v>0.708302023264193</v>
      </c>
      <c r="N32" s="6" t="n">
        <v>0.01470310759375166</v>
      </c>
      <c r="O32" s="6" t="inlineStr"/>
      <c r="P32" s="6" t="n">
        <v>0.291697976735807</v>
      </c>
      <c r="Q32" s="6" t="n">
        <v>29.1697976735807</v>
      </c>
      <c r="R32" s="6" t="n">
        <v>9.85</v>
      </c>
      <c r="S32" s="6" t="n">
        <v>2.778226598537245</v>
      </c>
      <c r="T32" s="6" t="n">
        <v>0.5786708973225616</v>
      </c>
      <c r="U32" s="6" t="n">
        <v>0.7292449418395175</v>
      </c>
      <c r="V32" s="9">
        <f>K32*(1-M32)*((1-B32)*L32-B32*'模型说明与假设'!$B$7-'模型说明与假设'!$B$8)</f>
        <v/>
      </c>
      <c r="W32" s="6" t="b">
        <v>0</v>
      </c>
    </row>
    <row r="33">
      <c r="A33" s="6" t="inlineStr">
        <is>
          <t>E188</t>
        </is>
      </c>
      <c r="B33" s="6" t="n">
        <v>0.03408241972540585</v>
      </c>
      <c r="C33" s="6" t="inlineStr">
        <is>
          <t>A</t>
        </is>
      </c>
      <c r="D33" s="6" t="n">
        <v>0.7499575758104792</v>
      </c>
      <c r="E33" s="6" t="n">
        <v>0.0761038649158035</v>
      </c>
      <c r="F33" s="6" t="n">
        <v>0.2282599451955567</v>
      </c>
      <c r="G33" s="6" t="n">
        <v>32</v>
      </c>
      <c r="H33" s="6" t="n">
        <v>35</v>
      </c>
      <c r="I33" s="6" t="inlineStr">
        <is>
          <t>***硬质合金有限公司</t>
        </is>
      </c>
      <c r="J33" s="6" t="b">
        <v>0</v>
      </c>
      <c r="K33" s="6" t="n">
        <v>100</v>
      </c>
      <c r="L33" s="6" t="n">
        <v>0.0985</v>
      </c>
      <c r="M33" s="6" t="n">
        <v>0.708302023264193</v>
      </c>
      <c r="N33" s="6" t="n">
        <v>0.01449547293608305</v>
      </c>
      <c r="O33" s="6" t="inlineStr"/>
      <c r="P33" s="6" t="n">
        <v>0.291697976735807</v>
      </c>
      <c r="Q33" s="6" t="n">
        <v>29.1697976735807</v>
      </c>
      <c r="R33" s="6" t="n">
        <v>9.85</v>
      </c>
      <c r="S33" s="6" t="n">
        <v>2.775298608017509</v>
      </c>
      <c r="T33" s="6" t="n">
        <v>0.5965063725696866</v>
      </c>
      <c r="U33" s="6" t="n">
        <v>0.7292449418395175</v>
      </c>
      <c r="V33" s="9">
        <f>K33*(1-M33)*((1-B33)*L33-B33*'模型说明与假设'!$B$7-'模型说明与假设'!$B$8)</f>
        <v/>
      </c>
      <c r="W33" s="6" t="b">
        <v>0</v>
      </c>
    </row>
    <row r="34">
      <c r="A34" s="6" t="inlineStr">
        <is>
          <t>E330</t>
        </is>
      </c>
      <c r="B34" s="6" t="n">
        <v>0.03410204275056606</v>
      </c>
      <c r="C34" s="6" t="inlineStr">
        <is>
          <t>A</t>
        </is>
      </c>
      <c r="D34" s="6" t="n">
        <v>0.747227766077274</v>
      </c>
      <c r="E34" s="6" t="n">
        <v>0.07857815928327114</v>
      </c>
      <c r="F34" s="6" t="n">
        <v>0.2322873106452535</v>
      </c>
      <c r="G34" s="6" t="n">
        <v>33</v>
      </c>
      <c r="H34" s="6" t="n">
        <v>42</v>
      </c>
      <c r="I34" s="6" t="inlineStr">
        <is>
          <t>***酒店管理有限公司</t>
        </is>
      </c>
      <c r="J34" s="6" t="b">
        <v>0</v>
      </c>
      <c r="K34" s="6" t="n">
        <v>100</v>
      </c>
      <c r="L34" s="6" t="n">
        <v>0.0985</v>
      </c>
      <c r="M34" s="6" t="n">
        <v>0.708302023264193</v>
      </c>
      <c r="N34" s="6" t="n">
        <v>0.01449147472436248</v>
      </c>
      <c r="O34" s="6" t="inlineStr"/>
      <c r="P34" s="6" t="n">
        <v>0.291697976735807</v>
      </c>
      <c r="Q34" s="6" t="n">
        <v>29.1697976735807</v>
      </c>
      <c r="R34" s="6" t="n">
        <v>9.85</v>
      </c>
      <c r="S34" s="6" t="n">
        <v>2.775242226649653</v>
      </c>
      <c r="T34" s="6" t="n">
        <v>0.5968498123738868</v>
      </c>
      <c r="U34" s="6" t="n">
        <v>0.7292449418395175</v>
      </c>
      <c r="V34" s="9">
        <f>K34*(1-M34)*((1-B34)*L34-B34*'模型说明与假设'!$B$7-'模型说明与假设'!$B$8)</f>
        <v/>
      </c>
      <c r="W34" s="6" t="b">
        <v>0</v>
      </c>
    </row>
    <row r="35">
      <c r="A35" s="6" t="inlineStr">
        <is>
          <t>E234</t>
        </is>
      </c>
      <c r="B35" s="6" t="n">
        <v>0.03445403539811302</v>
      </c>
      <c r="C35" s="6" t="inlineStr">
        <is>
          <t>A</t>
        </is>
      </c>
      <c r="D35" s="6" t="n">
        <v>0.7635188969116966</v>
      </c>
      <c r="E35" s="6" t="n">
        <v>0.07293625632917076</v>
      </c>
      <c r="F35" s="6" t="n">
        <v>0.2354869342626625</v>
      </c>
      <c r="G35" s="6" t="n">
        <v>34</v>
      </c>
      <c r="H35" s="6" t="n">
        <v>19</v>
      </c>
      <c r="I35" s="6" t="inlineStr">
        <is>
          <t>***机电设备商贸有限公司</t>
        </is>
      </c>
      <c r="J35" s="6" t="b">
        <v>0</v>
      </c>
      <c r="K35" s="6" t="n">
        <v>100</v>
      </c>
      <c r="L35" s="6" t="n">
        <v>0.0985</v>
      </c>
      <c r="M35" s="6" t="n">
        <v>0.708302023264193</v>
      </c>
      <c r="N35" s="6" t="n">
        <v>0.01441975585749643</v>
      </c>
      <c r="O35" s="6" t="inlineStr"/>
      <c r="P35" s="6" t="n">
        <v>0.291697976735807</v>
      </c>
      <c r="Q35" s="6" t="n">
        <v>29.1697976735807</v>
      </c>
      <c r="R35" s="6" t="n">
        <v>9.85</v>
      </c>
      <c r="S35" s="6" t="n">
        <v>2.774230872549967</v>
      </c>
      <c r="T35" s="6" t="n">
        <v>0.6030103449608065</v>
      </c>
      <c r="U35" s="6" t="n">
        <v>0.7292449418395175</v>
      </c>
      <c r="V35" s="9">
        <f>K35*(1-M35)*((1-B35)*L35-B35*'模型说明与假设'!$B$7-'模型说明与假设'!$B$8)</f>
        <v/>
      </c>
      <c r="W35" s="6" t="b">
        <v>0</v>
      </c>
    </row>
    <row r="36">
      <c r="A36" s="6" t="inlineStr">
        <is>
          <t>E142</t>
        </is>
      </c>
      <c r="B36" s="6" t="n">
        <v>0.0353189820452128</v>
      </c>
      <c r="C36" s="6" t="inlineStr">
        <is>
          <t>A</t>
        </is>
      </c>
      <c r="D36" s="6" t="n">
        <v>0.7527247804067488</v>
      </c>
      <c r="E36" s="6" t="n">
        <v>0.07541205831070014</v>
      </c>
      <c r="F36" s="6" t="n">
        <v>0.2295601036178068</v>
      </c>
      <c r="G36" s="6" t="n">
        <v>35</v>
      </c>
      <c r="H36" s="6" t="n">
        <v>29</v>
      </c>
      <c r="I36" s="6" t="inlineStr">
        <is>
          <t>***运业有限公司</t>
        </is>
      </c>
      <c r="J36" s="6" t="b">
        <v>0</v>
      </c>
      <c r="K36" s="6" t="n">
        <v>100</v>
      </c>
      <c r="L36" s="6" t="n">
        <v>0.0985</v>
      </c>
      <c r="M36" s="6" t="n">
        <v>0.708302023264193</v>
      </c>
      <c r="N36" s="6" t="n">
        <v>0.01424352208141644</v>
      </c>
      <c r="O36" s="6" t="inlineStr"/>
      <c r="P36" s="6" t="n">
        <v>0.291697976735807</v>
      </c>
      <c r="Q36" s="6" t="n">
        <v>29.1697976735807</v>
      </c>
      <c r="R36" s="6" t="n">
        <v>9.85</v>
      </c>
      <c r="S36" s="6" t="n">
        <v>2.771745686158574</v>
      </c>
      <c r="T36" s="6" t="n">
        <v>0.6181485361774121</v>
      </c>
      <c r="U36" s="6" t="n">
        <v>0.7292449418395175</v>
      </c>
      <c r="V36" s="9">
        <f>K36*(1-M36)*((1-B36)*L36-B36*'模型说明与假设'!$B$7-'模型说明与假设'!$B$8)</f>
        <v/>
      </c>
      <c r="W36" s="6" t="b">
        <v>0</v>
      </c>
    </row>
    <row r="37">
      <c r="A37" s="6" t="inlineStr">
        <is>
          <t>E289</t>
        </is>
      </c>
      <c r="B37" s="6" t="n">
        <v>0.03594094962091012</v>
      </c>
      <c r="C37" s="6" t="inlineStr">
        <is>
          <t>A</t>
        </is>
      </c>
      <c r="D37" s="6" t="n">
        <v>0.7347913966763318</v>
      </c>
      <c r="E37" s="6" t="n">
        <v>0.08329581832464772</v>
      </c>
      <c r="F37" s="6" t="n">
        <v>0.2307807888470702</v>
      </c>
      <c r="G37" s="6" t="n">
        <v>36</v>
      </c>
      <c r="H37" s="6" t="n">
        <v>59</v>
      </c>
      <c r="I37" s="6" t="inlineStr">
        <is>
          <t>***运业有限公司***分公司</t>
        </is>
      </c>
      <c r="J37" s="6" t="b">
        <v>0</v>
      </c>
      <c r="K37" s="6" t="n">
        <v>100</v>
      </c>
      <c r="L37" s="6" t="n">
        <v>0.0985</v>
      </c>
      <c r="M37" s="6" t="n">
        <v>0.708302023264193</v>
      </c>
      <c r="N37" s="6" t="n">
        <v>0.01411679554304325</v>
      </c>
      <c r="O37" s="6" t="inlineStr"/>
      <c r="P37" s="6" t="n">
        <v>0.291697976735807</v>
      </c>
      <c r="Q37" s="6" t="n">
        <v>29.1697976735807</v>
      </c>
      <c r="R37" s="6" t="n">
        <v>9.85</v>
      </c>
      <c r="S37" s="6" t="n">
        <v>2.769958633326826</v>
      </c>
      <c r="T37" s="6" t="n">
        <v>0.6290341371829831</v>
      </c>
      <c r="U37" s="6" t="n">
        <v>0.7292449418395175</v>
      </c>
      <c r="V37" s="9">
        <f>K37*(1-M37)*((1-B37)*L37-B37*'模型说明与假设'!$B$7-'模型说明与假设'!$B$8)</f>
        <v/>
      </c>
      <c r="W37" s="6" t="b">
        <v>0</v>
      </c>
    </row>
    <row r="38">
      <c r="A38" s="6" t="inlineStr">
        <is>
          <t>E155</t>
        </is>
      </c>
      <c r="B38" s="6" t="n">
        <v>0.03688032966167074</v>
      </c>
      <c r="C38" s="6" t="inlineStr">
        <is>
          <t>A</t>
        </is>
      </c>
      <c r="D38" s="6" t="n">
        <v>0.7338470145175991</v>
      </c>
      <c r="E38" s="6" t="n">
        <v>0.08104744902106607</v>
      </c>
      <c r="F38" s="6" t="n">
        <v>0.2234670724830531</v>
      </c>
      <c r="G38" s="6" t="n">
        <v>37</v>
      </c>
      <c r="H38" s="6" t="n">
        <v>62</v>
      </c>
      <c r="I38" s="6" t="inlineStr">
        <is>
          <t xml:space="preserve">个体经营E155 </t>
        </is>
      </c>
      <c r="J38" s="6" t="b">
        <v>0</v>
      </c>
      <c r="K38" s="6" t="n">
        <v>100</v>
      </c>
      <c r="L38" s="6" t="n">
        <v>0.0985</v>
      </c>
      <c r="M38" s="6" t="n">
        <v>0.708302023264193</v>
      </c>
      <c r="N38" s="6" t="n">
        <v>0.01392539588583606</v>
      </c>
      <c r="O38" s="6" t="inlineStr"/>
      <c r="P38" s="6" t="n">
        <v>0.291697976735807</v>
      </c>
      <c r="Q38" s="6" t="n">
        <v>29.1697976735807</v>
      </c>
      <c r="R38" s="6" t="n">
        <v>9.85</v>
      </c>
      <c r="S38" s="6" t="n">
        <v>2.767259583042658</v>
      </c>
      <c r="T38" s="6" t="n">
        <v>0.6454750526195354</v>
      </c>
      <c r="U38" s="6" t="n">
        <v>0.7292449418395175</v>
      </c>
      <c r="V38" s="9">
        <f>K38*(1-M38)*((1-B38)*L38-B38*'模型说明与假设'!$B$7-'模型说明与假设'!$B$8)</f>
        <v/>
      </c>
      <c r="W38" s="6" t="b">
        <v>0</v>
      </c>
    </row>
    <row r="39">
      <c r="A39" s="6" t="inlineStr">
        <is>
          <t>E246</t>
        </is>
      </c>
      <c r="B39" s="6" t="n">
        <v>0.03713924790737611</v>
      </c>
      <c r="C39" s="6" t="inlineStr">
        <is>
          <t>A</t>
        </is>
      </c>
      <c r="D39" s="6" t="n">
        <v>0.750497429714353</v>
      </c>
      <c r="E39" s="6" t="n">
        <v>0.07677949512860165</v>
      </c>
      <c r="F39" s="6" t="n">
        <v>0.230950782121446</v>
      </c>
      <c r="G39" s="6" t="n">
        <v>38</v>
      </c>
      <c r="H39" s="6" t="n">
        <v>33</v>
      </c>
      <c r="I39" s="6" t="inlineStr">
        <is>
          <t>***物业服务有限公司</t>
        </is>
      </c>
      <c r="J39" s="6" t="b">
        <v>0</v>
      </c>
      <c r="K39" s="6" t="n">
        <v>100</v>
      </c>
      <c r="L39" s="6" t="n">
        <v>0.0985</v>
      </c>
      <c r="M39" s="6" t="n">
        <v>0.708302023264193</v>
      </c>
      <c r="N39" s="6" t="n">
        <v>0.0138726410248401</v>
      </c>
      <c r="O39" s="6" t="inlineStr"/>
      <c r="P39" s="6" t="n">
        <v>0.291697976735807</v>
      </c>
      <c r="Q39" s="6" t="n">
        <v>29.1697976735807</v>
      </c>
      <c r="R39" s="6" t="n">
        <v>9.85</v>
      </c>
      <c r="S39" s="6" t="n">
        <v>2.766515652647798</v>
      </c>
      <c r="T39" s="6" t="n">
        <v>0.6500066083242698</v>
      </c>
      <c r="U39" s="6" t="n">
        <v>0.7292449418395175</v>
      </c>
      <c r="V39" s="9">
        <f>K39*(1-M39)*((1-B39)*L39-B39*'模型说明与假设'!$B$7-'模型说明与假设'!$B$8)</f>
        <v/>
      </c>
      <c r="W39" s="6" t="b">
        <v>0</v>
      </c>
    </row>
    <row r="40">
      <c r="A40" s="6" t="inlineStr">
        <is>
          <t>E220</t>
        </is>
      </c>
      <c r="B40" s="6" t="n">
        <v>0.03716901448658626</v>
      </c>
      <c r="C40" s="6" t="inlineStr">
        <is>
          <t>A</t>
        </is>
      </c>
      <c r="D40" s="6" t="n">
        <v>0.7627163974045446</v>
      </c>
      <c r="E40" s="6" t="n">
        <v>0.07255849190401846</v>
      </c>
      <c r="F40" s="6" t="n">
        <v>0.2332295655527934</v>
      </c>
      <c r="G40" s="6" t="n">
        <v>39</v>
      </c>
      <c r="H40" s="6" t="n">
        <v>20</v>
      </c>
      <c r="I40" s="6" t="inlineStr">
        <is>
          <t>***文化传播有限公司</t>
        </is>
      </c>
      <c r="J40" s="6" t="b">
        <v>0</v>
      </c>
      <c r="K40" s="6" t="n">
        <v>100</v>
      </c>
      <c r="L40" s="6" t="n">
        <v>0.0985</v>
      </c>
      <c r="M40" s="6" t="n">
        <v>0.708302023264193</v>
      </c>
      <c r="N40" s="6" t="n">
        <v>0.01386657605346554</v>
      </c>
      <c r="O40" s="6" t="inlineStr"/>
      <c r="P40" s="6" t="n">
        <v>0.291697976735807</v>
      </c>
      <c r="Q40" s="6" t="n">
        <v>29.1697976735807</v>
      </c>
      <c r="R40" s="6" t="n">
        <v>9.85</v>
      </c>
      <c r="S40" s="6" t="n">
        <v>2.766430126566138</v>
      </c>
      <c r="T40" s="6" t="n">
        <v>0.6505275793800667</v>
      </c>
      <c r="U40" s="6" t="n">
        <v>0.7292449418395175</v>
      </c>
      <c r="V40" s="9">
        <f>K40*(1-M40)*((1-B40)*L40-B40*'模型说明与假设'!$B$7-'模型说明与假设'!$B$8)</f>
        <v/>
      </c>
      <c r="W40" s="6" t="b">
        <v>0</v>
      </c>
    </row>
    <row r="41">
      <c r="A41" s="6" t="inlineStr">
        <is>
          <t>E144</t>
        </is>
      </c>
      <c r="B41" s="6" t="n">
        <v>0.03782298780240304</v>
      </c>
      <c r="C41" s="6" t="inlineStr">
        <is>
          <t>A</t>
        </is>
      </c>
      <c r="D41" s="6" t="n">
        <v>0.7748562199316555</v>
      </c>
      <c r="E41" s="6" t="n">
        <v>0.06869556707216259</v>
      </c>
      <c r="F41" s="6" t="n">
        <v>0.2364230866668366</v>
      </c>
      <c r="G41" s="6" t="n">
        <v>40</v>
      </c>
      <c r="H41" s="6" t="n">
        <v>15</v>
      </c>
      <c r="I41" s="6" t="inlineStr">
        <is>
          <t>***劳务有限公司</t>
        </is>
      </c>
      <c r="J41" s="6" t="b">
        <v>0</v>
      </c>
      <c r="K41" s="6" t="n">
        <v>100</v>
      </c>
      <c r="L41" s="6" t="n">
        <v>0.0985</v>
      </c>
      <c r="M41" s="6" t="n">
        <v>0.708302023264193</v>
      </c>
      <c r="N41" s="6" t="n">
        <v>0.01373332831236106</v>
      </c>
      <c r="O41" s="6" t="inlineStr"/>
      <c r="P41" s="6" t="n">
        <v>0.291697976735807</v>
      </c>
      <c r="Q41" s="6" t="n">
        <v>29.1697976735807</v>
      </c>
      <c r="R41" s="6" t="n">
        <v>9.85</v>
      </c>
      <c r="S41" s="6" t="n">
        <v>2.764551114039468</v>
      </c>
      <c r="T41" s="6" t="n">
        <v>0.6619733409638443</v>
      </c>
      <c r="U41" s="6" t="n">
        <v>0.7292449418395175</v>
      </c>
      <c r="V41" s="9">
        <f>K41*(1-M41)*((1-B41)*L41-B41*'模型说明与假设'!$B$7-'模型说明与假设'!$B$8)</f>
        <v/>
      </c>
      <c r="W41" s="6" t="b">
        <v>0</v>
      </c>
    </row>
    <row r="42">
      <c r="A42" s="6" t="inlineStr">
        <is>
          <t>E135</t>
        </is>
      </c>
      <c r="B42" s="6" t="n">
        <v>0.0379988070640315</v>
      </c>
      <c r="C42" s="6" t="inlineStr">
        <is>
          <t>A</t>
        </is>
      </c>
      <c r="D42" s="6" t="n">
        <v>0.7601382592139747</v>
      </c>
      <c r="E42" s="6" t="n">
        <v>0.07350971587560812</v>
      </c>
      <c r="F42" s="6" t="n">
        <v>0.232957316485273</v>
      </c>
      <c r="G42" s="6" t="n">
        <v>41</v>
      </c>
      <c r="H42" s="6" t="n">
        <v>23</v>
      </c>
      <c r="I42" s="6" t="inlineStr">
        <is>
          <t>***建设工程有限公司</t>
        </is>
      </c>
      <c r="J42" s="6" t="b">
        <v>0</v>
      </c>
      <c r="K42" s="6" t="n">
        <v>100</v>
      </c>
      <c r="L42" s="6" t="n">
        <v>0.0985</v>
      </c>
      <c r="M42" s="6" t="n">
        <v>0.708302023264193</v>
      </c>
      <c r="N42" s="6" t="n">
        <v>0.01369750495552365</v>
      </c>
      <c r="O42" s="6" t="inlineStr"/>
      <c r="P42" s="6" t="n">
        <v>0.291697976735807</v>
      </c>
      <c r="Q42" s="6" t="n">
        <v>29.1697976735807</v>
      </c>
      <c r="R42" s="6" t="n">
        <v>9.85</v>
      </c>
      <c r="S42" s="6" t="n">
        <v>2.764045945729019</v>
      </c>
      <c r="T42" s="6" t="n">
        <v>0.6650505083371367</v>
      </c>
      <c r="U42" s="6" t="n">
        <v>0.7292449418395175</v>
      </c>
      <c r="V42" s="9">
        <f>K42*(1-M42)*((1-B42)*L42-B42*'模型说明与假设'!$B$7-'模型说明与假设'!$B$8)</f>
        <v/>
      </c>
      <c r="W42" s="6" t="b">
        <v>0</v>
      </c>
    </row>
    <row r="43">
      <c r="A43" s="6" t="inlineStr">
        <is>
          <t>E221</t>
        </is>
      </c>
      <c r="B43" s="6" t="n">
        <v>0.03869381256671444</v>
      </c>
      <c r="C43" s="6" t="inlineStr">
        <is>
          <t>A</t>
        </is>
      </c>
      <c r="D43" s="6" t="n">
        <v>0.7513072105653722</v>
      </c>
      <c r="E43" s="6" t="n">
        <v>0.07572359908295184</v>
      </c>
      <c r="F43" s="6" t="n">
        <v>0.2287629091712684</v>
      </c>
      <c r="G43" s="6" t="n">
        <v>42</v>
      </c>
      <c r="H43" s="6" t="n">
        <v>31</v>
      </c>
      <c r="I43" s="6" t="inlineStr">
        <is>
          <t>***测绘服务有限公司</t>
        </is>
      </c>
      <c r="J43" s="6" t="b">
        <v>0</v>
      </c>
      <c r="K43" s="6" t="n">
        <v>100</v>
      </c>
      <c r="L43" s="6" t="n">
        <v>0.0985</v>
      </c>
      <c r="M43" s="6" t="n">
        <v>0.708302023264193</v>
      </c>
      <c r="N43" s="6" t="n">
        <v>0.01355589686380507</v>
      </c>
      <c r="O43" s="6" t="inlineStr"/>
      <c r="P43" s="6" t="n">
        <v>0.291697976735807</v>
      </c>
      <c r="Q43" s="6" t="n">
        <v>29.1697976735807</v>
      </c>
      <c r="R43" s="6" t="n">
        <v>9.85</v>
      </c>
      <c r="S43" s="6" t="n">
        <v>2.762049038494333</v>
      </c>
      <c r="T43" s="6" t="n">
        <v>0.6772144102743087</v>
      </c>
      <c r="U43" s="6" t="n">
        <v>0.7292449418395175</v>
      </c>
      <c r="V43" s="9">
        <f>K43*(1-M43)*((1-B43)*L43-B43*'模型说明与假设'!$B$7-'模型说明与假设'!$B$8)</f>
        <v/>
      </c>
      <c r="W43" s="6" t="b">
        <v>0</v>
      </c>
    </row>
    <row r="44">
      <c r="A44" s="6" t="inlineStr">
        <is>
          <t>E211</t>
        </is>
      </c>
      <c r="B44" s="6" t="n">
        <v>0.03899545819589739</v>
      </c>
      <c r="C44" s="6" t="inlineStr">
        <is>
          <t>A</t>
        </is>
      </c>
      <c r="D44" s="6" t="n">
        <v>0.738914209146677</v>
      </c>
      <c r="E44" s="6" t="n">
        <v>0.07961256222906671</v>
      </c>
      <c r="F44" s="6" t="n">
        <v>0.2253161815714443</v>
      </c>
      <c r="G44" s="6" t="n">
        <v>43</v>
      </c>
      <c r="H44" s="6" t="n">
        <v>53</v>
      </c>
      <c r="I44" s="6" t="inlineStr">
        <is>
          <t xml:space="preserve">个体经营E211 </t>
        </is>
      </c>
      <c r="J44" s="6" t="b">
        <v>0</v>
      </c>
      <c r="K44" s="6" t="n">
        <v>100</v>
      </c>
      <c r="L44" s="6" t="n">
        <v>0.0985</v>
      </c>
      <c r="M44" s="6" t="n">
        <v>0.708302023264193</v>
      </c>
      <c r="N44" s="6" t="n">
        <v>0.01349443625412795</v>
      </c>
      <c r="O44" s="6" t="inlineStr"/>
      <c r="P44" s="6" t="n">
        <v>0.291697976735807</v>
      </c>
      <c r="Q44" s="6" t="n">
        <v>29.1697976735807</v>
      </c>
      <c r="R44" s="6" t="n">
        <v>9.85</v>
      </c>
      <c r="S44" s="6" t="n">
        <v>2.761182342710053</v>
      </c>
      <c r="T44" s="6" t="n">
        <v>0.6824937754577407</v>
      </c>
      <c r="U44" s="6" t="n">
        <v>0.7292449418395175</v>
      </c>
      <c r="V44" s="9">
        <f>K44*(1-M44)*((1-B44)*L44-B44*'模型说明与假设'!$B$7-'模型说明与假设'!$B$8)</f>
        <v/>
      </c>
      <c r="W44" s="6" t="b">
        <v>0</v>
      </c>
    </row>
    <row r="45">
      <c r="A45" s="6" t="inlineStr">
        <is>
          <t>E258</t>
        </is>
      </c>
      <c r="B45" s="6" t="n">
        <v>0.03938495895667792</v>
      </c>
      <c r="C45" s="6" t="inlineStr">
        <is>
          <t>A</t>
        </is>
      </c>
      <c r="D45" s="6" t="n">
        <v>0.7174656122041903</v>
      </c>
      <c r="E45" s="6" t="n">
        <v>0.09094536339495374</v>
      </c>
      <c r="F45" s="6" t="n">
        <v>0.2309459437286266</v>
      </c>
      <c r="G45" s="6" t="n">
        <v>44</v>
      </c>
      <c r="H45" s="6" t="n">
        <v>86</v>
      </c>
      <c r="I45" s="6" t="inlineStr">
        <is>
          <t>***国际货运有限公司</t>
        </is>
      </c>
      <c r="J45" s="6" t="b">
        <v>0</v>
      </c>
      <c r="K45" s="6" t="n">
        <v>100</v>
      </c>
      <c r="L45" s="6" t="n">
        <v>0.0985</v>
      </c>
      <c r="M45" s="6" t="n">
        <v>0.708302023264193</v>
      </c>
      <c r="N45" s="6" t="n">
        <v>0.01341507507030402</v>
      </c>
      <c r="O45" s="6" t="inlineStr"/>
      <c r="P45" s="6" t="n">
        <v>0.291697976735807</v>
      </c>
      <c r="Q45" s="6" t="n">
        <v>29.1697976735807</v>
      </c>
      <c r="R45" s="6" t="n">
        <v>9.85</v>
      </c>
      <c r="S45" s="6" t="n">
        <v>2.760063219359064</v>
      </c>
      <c r="T45" s="6" t="n">
        <v>0.6893107704891448</v>
      </c>
      <c r="U45" s="6" t="n">
        <v>0.7292449418395175</v>
      </c>
      <c r="V45" s="9">
        <f>K45*(1-M45)*((1-B45)*L45-B45*'模型说明与假设'!$B$7-'模型说明与假设'!$B$8)</f>
        <v/>
      </c>
      <c r="W45" s="6" t="b">
        <v>0</v>
      </c>
    </row>
    <row r="46">
      <c r="A46" s="6" t="inlineStr">
        <is>
          <t>E181</t>
        </is>
      </c>
      <c r="B46" s="6" t="n">
        <v>0.03949984998892209</v>
      </c>
      <c r="C46" s="6" t="inlineStr">
        <is>
          <t>A</t>
        </is>
      </c>
      <c r="D46" s="6" t="n">
        <v>0.5891608438525887</v>
      </c>
      <c r="E46" s="6" t="n">
        <v>0.1402431703525738</v>
      </c>
      <c r="F46" s="6" t="n">
        <v>0.2011146779783527</v>
      </c>
      <c r="G46" s="6" t="n">
        <v>45</v>
      </c>
      <c r="H46" s="6" t="n">
        <v>233</v>
      </c>
      <c r="I46" s="6" t="inlineStr">
        <is>
          <t>***食品有限公司</t>
        </is>
      </c>
      <c r="J46" s="6" t="b">
        <v>0</v>
      </c>
      <c r="K46" s="6" t="n">
        <v>100</v>
      </c>
      <c r="L46" s="6" t="n">
        <v>0.0985</v>
      </c>
      <c r="M46" s="6" t="n">
        <v>0.708302023264193</v>
      </c>
      <c r="N46" s="6" t="n">
        <v>0.013391665903371</v>
      </c>
      <c r="O46" s="6" t="inlineStr"/>
      <c r="P46" s="6" t="n">
        <v>0.291697976735807</v>
      </c>
      <c r="Q46" s="6" t="n">
        <v>29.1697976735807</v>
      </c>
      <c r="R46" s="6" t="n">
        <v>9.85</v>
      </c>
      <c r="S46" s="6" t="n">
        <v>2.759733111564805</v>
      </c>
      <c r="T46" s="6" t="n">
        <v>0.6913215793881876</v>
      </c>
      <c r="U46" s="6" t="n">
        <v>0.7292449418395175</v>
      </c>
      <c r="V46" s="9">
        <f>K46*(1-M46)*((1-B46)*L46-B46*'模型说明与假设'!$B$7-'模型说明与假设'!$B$8)</f>
        <v/>
      </c>
      <c r="W46" s="6" t="b">
        <v>0</v>
      </c>
    </row>
    <row r="47">
      <c r="A47" s="6" t="inlineStr">
        <is>
          <t>E154</t>
        </is>
      </c>
      <c r="B47" s="6" t="n">
        <v>0.03957954285180283</v>
      </c>
      <c r="C47" s="6" t="inlineStr">
        <is>
          <t>A</t>
        </is>
      </c>
      <c r="D47" s="6" t="n">
        <v>0.5771149771674843</v>
      </c>
      <c r="E47" s="6" t="n">
        <v>0.1439546327961655</v>
      </c>
      <c r="F47" s="6" t="n">
        <v>0.1964561763451622</v>
      </c>
      <c r="G47" s="6" t="n">
        <v>46</v>
      </c>
      <c r="H47" s="6" t="n">
        <v>243</v>
      </c>
      <c r="I47" s="6" t="inlineStr">
        <is>
          <t>***汽车销售服务有限公司</t>
        </is>
      </c>
      <c r="J47" s="6" t="b">
        <v>0</v>
      </c>
      <c r="K47" s="6" t="n">
        <v>100</v>
      </c>
      <c r="L47" s="6" t="n">
        <v>0.0985</v>
      </c>
      <c r="M47" s="6" t="n">
        <v>0.708302023264193</v>
      </c>
      <c r="N47" s="6" t="n">
        <v>0.01337542839993747</v>
      </c>
      <c r="O47" s="6" t="inlineStr"/>
      <c r="P47" s="6" t="n">
        <v>0.291697976735807</v>
      </c>
      <c r="Q47" s="6" t="n">
        <v>29.1697976735807</v>
      </c>
      <c r="R47" s="6" t="n">
        <v>9.85</v>
      </c>
      <c r="S47" s="6" t="n">
        <v>2.759504136033208</v>
      </c>
      <c r="T47" s="6" t="n">
        <v>0.6927163541999435</v>
      </c>
      <c r="U47" s="6" t="n">
        <v>0.7292449418395175</v>
      </c>
      <c r="V47" s="9">
        <f>K47*(1-M47)*((1-B47)*L47-B47*'模型说明与假设'!$B$7-'模型说明与假设'!$B$8)</f>
        <v/>
      </c>
      <c r="W47" s="6" t="b">
        <v>0</v>
      </c>
    </row>
    <row r="48">
      <c r="A48" s="6" t="inlineStr">
        <is>
          <t>E204</t>
        </is>
      </c>
      <c r="B48" s="6" t="n">
        <v>0.03974630692107985</v>
      </c>
      <c r="C48" s="6" t="inlineStr">
        <is>
          <t>A</t>
        </is>
      </c>
      <c r="D48" s="6" t="n">
        <v>0.7595253145871296</v>
      </c>
      <c r="E48" s="6" t="n">
        <v>0.07340335543787065</v>
      </c>
      <c r="F48" s="6" t="n">
        <v>0.2318402310620746</v>
      </c>
      <c r="G48" s="6" t="n">
        <v>47</v>
      </c>
      <c r="H48" s="6" t="n">
        <v>24</v>
      </c>
      <c r="I48" s="6" t="inlineStr">
        <is>
          <t>***科技发展有限公司</t>
        </is>
      </c>
      <c r="J48" s="6" t="b">
        <v>0</v>
      </c>
      <c r="K48" s="6" t="n">
        <v>100</v>
      </c>
      <c r="L48" s="6" t="n">
        <v>0.0985</v>
      </c>
      <c r="M48" s="6" t="n">
        <v>0.708302023264193</v>
      </c>
      <c r="N48" s="6" t="n">
        <v>0.01334145004792964</v>
      </c>
      <c r="O48" s="6" t="inlineStr"/>
      <c r="P48" s="6" t="n">
        <v>0.291697976735807</v>
      </c>
      <c r="Q48" s="6" t="n">
        <v>29.1697976735807</v>
      </c>
      <c r="R48" s="6" t="n">
        <v>9.85</v>
      </c>
      <c r="S48" s="6" t="n">
        <v>2.759024985328445</v>
      </c>
      <c r="T48" s="6" t="n">
        <v>0.6956350386959635</v>
      </c>
      <c r="U48" s="6" t="n">
        <v>0.7292449418395175</v>
      </c>
      <c r="V48" s="9">
        <f>K48*(1-M48)*((1-B48)*L48-B48*'模型说明与假设'!$B$7-'模型说明与假设'!$B$8)</f>
        <v/>
      </c>
      <c r="W48" s="6" t="b">
        <v>0</v>
      </c>
    </row>
    <row r="49">
      <c r="A49" s="6" t="inlineStr">
        <is>
          <t>E310</t>
        </is>
      </c>
      <c r="B49" s="6" t="n">
        <v>0.03980653309570229</v>
      </c>
      <c r="C49" s="6" t="inlineStr">
        <is>
          <t>A</t>
        </is>
      </c>
      <c r="D49" s="6" t="n">
        <v>0.7334499183362686</v>
      </c>
      <c r="E49" s="6" t="n">
        <v>0.0818299754402141</v>
      </c>
      <c r="F49" s="6" t="n">
        <v>0.2251666494696496</v>
      </c>
      <c r="G49" s="6" t="n">
        <v>48</v>
      </c>
      <c r="H49" s="6" t="n">
        <v>63</v>
      </c>
      <c r="I49" s="6" t="inlineStr">
        <is>
          <t>***律师事务所</t>
        </is>
      </c>
      <c r="J49" s="6" t="b">
        <v>0</v>
      </c>
      <c r="K49" s="6" t="n">
        <v>100</v>
      </c>
      <c r="L49" s="6" t="n">
        <v>0.0985</v>
      </c>
      <c r="M49" s="6" t="n">
        <v>0.708302023264193</v>
      </c>
      <c r="N49" s="6" t="n">
        <v>0.01332917890241083</v>
      </c>
      <c r="O49" s="6" t="inlineStr"/>
      <c r="P49" s="6" t="n">
        <v>0.291697976735807</v>
      </c>
      <c r="Q49" s="6" t="n">
        <v>29.1697976735807</v>
      </c>
      <c r="R49" s="6" t="n">
        <v>9.85</v>
      </c>
      <c r="S49" s="6" t="n">
        <v>2.758851941973599</v>
      </c>
      <c r="T49" s="6" t="n">
        <v>0.6966891098929978</v>
      </c>
      <c r="U49" s="6" t="n">
        <v>0.7292449418395175</v>
      </c>
      <c r="V49" s="9">
        <f>K49*(1-M49)*((1-B49)*L49-B49*'模型说明与假设'!$B$7-'模型说明与假设'!$B$8)</f>
        <v/>
      </c>
      <c r="W49" s="6" t="b">
        <v>0</v>
      </c>
    </row>
    <row r="50">
      <c r="A50" s="6" t="inlineStr">
        <is>
          <t>E205</t>
        </is>
      </c>
      <c r="B50" s="6" t="n">
        <v>0.0398258385629043</v>
      </c>
      <c r="C50" s="6" t="inlineStr">
        <is>
          <t>A</t>
        </is>
      </c>
      <c r="D50" s="6" t="n">
        <v>0.6934146722508361</v>
      </c>
      <c r="E50" s="6" t="n">
        <v>0.09998093235788839</v>
      </c>
      <c r="F50" s="6" t="n">
        <v>0.2261303433900785</v>
      </c>
      <c r="G50" s="6" t="n">
        <v>49</v>
      </c>
      <c r="H50" s="6" t="n">
        <v>124</v>
      </c>
      <c r="I50" s="6" t="inlineStr">
        <is>
          <t xml:space="preserve">个体经营E205 </t>
        </is>
      </c>
      <c r="J50" s="6" t="b">
        <v>0</v>
      </c>
      <c r="K50" s="6" t="n">
        <v>100</v>
      </c>
      <c r="L50" s="6" t="n">
        <v>0.0985</v>
      </c>
      <c r="M50" s="6" t="n">
        <v>0.708302023264193</v>
      </c>
      <c r="N50" s="6" t="n">
        <v>0.01332524539345348</v>
      </c>
      <c r="O50" s="6" t="inlineStr"/>
      <c r="P50" s="6" t="n">
        <v>0.291697976735807</v>
      </c>
      <c r="Q50" s="6" t="n">
        <v>29.1697976735807</v>
      </c>
      <c r="R50" s="6" t="n">
        <v>9.85</v>
      </c>
      <c r="S50" s="6" t="n">
        <v>2.758796473021229</v>
      </c>
      <c r="T50" s="6" t="n">
        <v>0.6970269918363639</v>
      </c>
      <c r="U50" s="6" t="n">
        <v>0.7292449418395175</v>
      </c>
      <c r="V50" s="9">
        <f>K50*(1-M50)*((1-B50)*L50-B50*'模型说明与假设'!$B$7-'模型说明与假设'!$B$8)</f>
        <v/>
      </c>
      <c r="W50" s="6" t="b">
        <v>0</v>
      </c>
    </row>
    <row r="51">
      <c r="A51" s="6" t="inlineStr">
        <is>
          <t>E209</t>
        </is>
      </c>
      <c r="B51" s="6" t="n">
        <v>0.04076716699401999</v>
      </c>
      <c r="C51" s="6" t="inlineStr">
        <is>
          <t>A</t>
        </is>
      </c>
      <c r="D51" s="6" t="n">
        <v>0.7800133026724613</v>
      </c>
      <c r="E51" s="6" t="n">
        <v>0.0653457889410388</v>
      </c>
      <c r="F51" s="6" t="n">
        <v>0.231698485712284</v>
      </c>
      <c r="G51" s="6" t="n">
        <v>50</v>
      </c>
      <c r="H51" s="6" t="n">
        <v>9</v>
      </c>
      <c r="I51" s="6" t="inlineStr">
        <is>
          <t>***工程检测有限公司</t>
        </is>
      </c>
      <c r="J51" s="6" t="b">
        <v>0</v>
      </c>
      <c r="K51" s="6" t="n">
        <v>100</v>
      </c>
      <c r="L51" s="6" t="n">
        <v>0.0985</v>
      </c>
      <c r="M51" s="6" t="n">
        <v>0.708302023264193</v>
      </c>
      <c r="N51" s="6" t="n">
        <v>0.01313344874969144</v>
      </c>
      <c r="O51" s="6" t="inlineStr"/>
      <c r="P51" s="6" t="n">
        <v>0.291697976735807</v>
      </c>
      <c r="Q51" s="6" t="n">
        <v>29.1697976735807</v>
      </c>
      <c r="R51" s="6" t="n">
        <v>9.85</v>
      </c>
      <c r="S51" s="6" t="n">
        <v>2.756091824573046</v>
      </c>
      <c r="T51" s="6" t="n">
        <v>0.7135020077643841</v>
      </c>
      <c r="U51" s="6" t="n">
        <v>0.7292449418395175</v>
      </c>
      <c r="V51" s="9">
        <f>K51*(1-M51)*((1-B51)*L51-B51*'模型说明与假设'!$B$7-'模型说明与假设'!$B$8)</f>
        <v/>
      </c>
      <c r="W51" s="6" t="b">
        <v>0</v>
      </c>
    </row>
    <row r="52">
      <c r="A52" s="6" t="inlineStr">
        <is>
          <t>E213</t>
        </is>
      </c>
      <c r="B52" s="6" t="n">
        <v>0.04126732354215461</v>
      </c>
      <c r="C52" s="6" t="inlineStr">
        <is>
          <t>A</t>
        </is>
      </c>
      <c r="D52" s="6" t="n">
        <v>0.7492709192413468</v>
      </c>
      <c r="E52" s="6" t="n">
        <v>0.07542815907167953</v>
      </c>
      <c r="F52" s="6" t="n">
        <v>0.2254071442902196</v>
      </c>
      <c r="G52" s="6" t="n">
        <v>51</v>
      </c>
      <c r="H52" s="6" t="n">
        <v>38</v>
      </c>
      <c r="I52" s="6" t="inlineStr">
        <is>
          <t>***科技有限公司</t>
        </is>
      </c>
      <c r="J52" s="6" t="b">
        <v>0</v>
      </c>
      <c r="K52" s="6" t="n">
        <v>100</v>
      </c>
      <c r="L52" s="6" t="n">
        <v>0.1025</v>
      </c>
      <c r="M52" s="6" t="n">
        <v>0.731275401311664</v>
      </c>
      <c r="N52" s="6" t="n">
        <v>0.01303575106548647</v>
      </c>
      <c r="O52" s="6" t="inlineStr"/>
      <c r="P52" s="6" t="n">
        <v>0.268724598688336</v>
      </c>
      <c r="Q52" s="6" t="n">
        <v>26.8724598688336</v>
      </c>
      <c r="R52" s="6" t="n">
        <v>10.25</v>
      </c>
      <c r="S52" s="6" t="n">
        <v>2.64075930073792</v>
      </c>
      <c r="T52" s="6" t="n">
        <v>0.6653726974684331</v>
      </c>
      <c r="U52" s="6" t="n">
        <v>0.67181149672084</v>
      </c>
      <c r="V52" s="9">
        <f>K52*(1-M52)*((1-B52)*L52-B52*'模型说明与假设'!$B$7-'模型说明与假设'!$B$8)</f>
        <v/>
      </c>
      <c r="W52" s="6" t="b">
        <v>0</v>
      </c>
    </row>
    <row r="53">
      <c r="A53" s="6" t="inlineStr">
        <is>
          <t>E164</t>
        </is>
      </c>
      <c r="B53" s="6" t="n">
        <v>0.04165985056170619</v>
      </c>
      <c r="C53" s="6" t="inlineStr">
        <is>
          <t>A</t>
        </is>
      </c>
      <c r="D53" s="6" t="n">
        <v>0.7520622627403996</v>
      </c>
      <c r="E53" s="6" t="n">
        <v>0.07529100792825075</v>
      </c>
      <c r="F53" s="6" t="n">
        <v>0.2283780049474219</v>
      </c>
      <c r="G53" s="6" t="n">
        <v>52</v>
      </c>
      <c r="H53" s="6" t="n">
        <v>30</v>
      </c>
      <c r="I53" s="6" t="inlineStr">
        <is>
          <t xml:space="preserve">个体经营E164 </t>
        </is>
      </c>
      <c r="J53" s="6" t="b">
        <v>0</v>
      </c>
      <c r="K53" s="6" t="n">
        <v>100</v>
      </c>
      <c r="L53" s="6" t="n">
        <v>0.1025</v>
      </c>
      <c r="M53" s="6" t="n">
        <v>0.731275401311664</v>
      </c>
      <c r="N53" s="6" t="n">
        <v>0.01296165019525963</v>
      </c>
      <c r="O53" s="6" t="inlineStr"/>
      <c r="P53" s="6" t="n">
        <v>0.268724598688336</v>
      </c>
      <c r="Q53" s="6" t="n">
        <v>26.8724598688336</v>
      </c>
      <c r="R53" s="6" t="n">
        <v>10.25</v>
      </c>
      <c r="S53" s="6" t="n">
        <v>2.639678113663436</v>
      </c>
      <c r="T53" s="6" t="n">
        <v>0.6717015974166325</v>
      </c>
      <c r="U53" s="6" t="n">
        <v>0.67181149672084</v>
      </c>
      <c r="V53" s="9">
        <f>K53*(1-M53)*((1-B53)*L53-B53*'模型说明与假设'!$B$7-'模型说明与假设'!$B$8)</f>
        <v/>
      </c>
      <c r="W53" s="6" t="b">
        <v>0</v>
      </c>
    </row>
    <row r="54">
      <c r="A54" s="6" t="inlineStr">
        <is>
          <t>E235</t>
        </is>
      </c>
      <c r="B54" s="6" t="n">
        <v>0.04209398386789636</v>
      </c>
      <c r="C54" s="6" t="inlineStr">
        <is>
          <t>A</t>
        </is>
      </c>
      <c r="D54" s="6" t="n">
        <v>0.7562870006080455</v>
      </c>
      <c r="E54" s="6" t="n">
        <v>0.07408326786735608</v>
      </c>
      <c r="F54" s="6" t="n">
        <v>0.229894230469574</v>
      </c>
      <c r="G54" s="6" t="n">
        <v>53</v>
      </c>
      <c r="H54" s="6" t="n">
        <v>28</v>
      </c>
      <c r="I54" s="6" t="inlineStr">
        <is>
          <t xml:space="preserve">个体经营E235 </t>
        </is>
      </c>
      <c r="J54" s="6" t="b">
        <v>0</v>
      </c>
      <c r="K54" s="6" t="n">
        <v>100</v>
      </c>
      <c r="L54" s="6" t="n">
        <v>0.1025</v>
      </c>
      <c r="M54" s="6" t="n">
        <v>0.731275401311664</v>
      </c>
      <c r="N54" s="6" t="n">
        <v>0.01287969493057519</v>
      </c>
      <c r="O54" s="6" t="inlineStr"/>
      <c r="P54" s="6" t="n">
        <v>0.268724598688336</v>
      </c>
      <c r="Q54" s="6" t="n">
        <v>26.8724598688336</v>
      </c>
      <c r="R54" s="6" t="n">
        <v>10.25</v>
      </c>
      <c r="S54" s="6" t="n">
        <v>2.638482325103983</v>
      </c>
      <c r="T54" s="6" t="n">
        <v>0.6787013353256243</v>
      </c>
      <c r="U54" s="6" t="n">
        <v>0.67181149672084</v>
      </c>
      <c r="V54" s="9">
        <f>K54*(1-M54)*((1-B54)*L54-B54*'模型说明与假设'!$B$7-'模型说明与假设'!$B$8)</f>
        <v/>
      </c>
      <c r="W54" s="6" t="b">
        <v>0</v>
      </c>
    </row>
    <row r="55">
      <c r="A55" s="6" t="inlineStr">
        <is>
          <t>E250</t>
        </is>
      </c>
      <c r="B55" s="6" t="n">
        <v>0.04218176851429475</v>
      </c>
      <c r="C55" s="6" t="inlineStr">
        <is>
          <t>A</t>
        </is>
      </c>
      <c r="D55" s="6" t="n">
        <v>0.7288278414711764</v>
      </c>
      <c r="E55" s="6" t="n">
        <v>0.0846598333878673</v>
      </c>
      <c r="F55" s="6" t="n">
        <v>0.2275397443533284</v>
      </c>
      <c r="G55" s="6" t="n">
        <v>54</v>
      </c>
      <c r="H55" s="6" t="n">
        <v>65</v>
      </c>
      <c r="I55" s="6" t="inlineStr">
        <is>
          <t>***塑料厂</t>
        </is>
      </c>
      <c r="J55" s="6" t="b">
        <v>0</v>
      </c>
      <c r="K55" s="6" t="n">
        <v>100</v>
      </c>
      <c r="L55" s="6" t="n">
        <v>0.1025</v>
      </c>
      <c r="M55" s="6" t="n">
        <v>0.731275401311664</v>
      </c>
      <c r="N55" s="6" t="n">
        <v>0.01286312303012841</v>
      </c>
      <c r="O55" s="6" t="inlineStr"/>
      <c r="P55" s="6" t="n">
        <v>0.268724598688336</v>
      </c>
      <c r="Q55" s="6" t="n">
        <v>26.8724598688336</v>
      </c>
      <c r="R55" s="6" t="n">
        <v>10.25</v>
      </c>
      <c r="S55" s="6" t="n">
        <v>2.63824052869177</v>
      </c>
      <c r="T55" s="6" t="n">
        <v>0.6801167289580886</v>
      </c>
      <c r="U55" s="6" t="n">
        <v>0.67181149672084</v>
      </c>
      <c r="V55" s="9">
        <f>K55*(1-M55)*((1-B55)*L55-B55*'模型说明与假设'!$B$7-'模型说明与假设'!$B$8)</f>
        <v/>
      </c>
      <c r="W55" s="6" t="b">
        <v>0</v>
      </c>
    </row>
    <row r="56">
      <c r="A56" s="6" t="inlineStr">
        <is>
          <t>E206</t>
        </is>
      </c>
      <c r="B56" s="6" t="n">
        <v>0.04230395849487604</v>
      </c>
      <c r="C56" s="6" t="inlineStr">
        <is>
          <t>A</t>
        </is>
      </c>
      <c r="D56" s="6" t="n">
        <v>0.7621625455813394</v>
      </c>
      <c r="E56" s="6" t="n">
        <v>0.07136482911309848</v>
      </c>
      <c r="F56" s="6" t="n">
        <v>0.2286923224719349</v>
      </c>
      <c r="G56" s="6" t="n">
        <v>55</v>
      </c>
      <c r="H56" s="6" t="n">
        <v>21</v>
      </c>
      <c r="I56" s="6" t="inlineStr">
        <is>
          <t>***建设工程有限公司</t>
        </is>
      </c>
      <c r="J56" s="6" t="b">
        <v>0</v>
      </c>
      <c r="K56" s="6" t="n">
        <v>100</v>
      </c>
      <c r="L56" s="6" t="n">
        <v>0.1025</v>
      </c>
      <c r="M56" s="6" t="n">
        <v>0.731275401311664</v>
      </c>
      <c r="N56" s="6" t="n">
        <v>0.01284005612404787</v>
      </c>
      <c r="O56" s="6" t="inlineStr"/>
      <c r="P56" s="6" t="n">
        <v>0.268724598688336</v>
      </c>
      <c r="Q56" s="6" t="n">
        <v>26.8724598688336</v>
      </c>
      <c r="R56" s="6" t="n">
        <v>10.25</v>
      </c>
      <c r="S56" s="6" t="n">
        <v>2.637903965293442</v>
      </c>
      <c r="T56" s="6" t="n">
        <v>0.6820868561678151</v>
      </c>
      <c r="U56" s="6" t="n">
        <v>0.67181149672084</v>
      </c>
      <c r="V56" s="9">
        <f>K56*(1-M56)*((1-B56)*L56-B56*'模型说明与假设'!$B$7-'模型说明与假设'!$B$8)</f>
        <v/>
      </c>
      <c r="W56" s="6" t="b">
        <v>0</v>
      </c>
    </row>
    <row r="57">
      <c r="A57" s="6" t="inlineStr">
        <is>
          <t>E140</t>
        </is>
      </c>
      <c r="B57" s="6" t="n">
        <v>0.04324159704600555</v>
      </c>
      <c r="C57" s="6" t="inlineStr">
        <is>
          <t>A</t>
        </is>
      </c>
      <c r="D57" s="6" t="n">
        <v>0.7221174277265265</v>
      </c>
      <c r="E57" s="6" t="n">
        <v>0.089291065995649</v>
      </c>
      <c r="F57" s="6" t="n">
        <v>0.2320355478510613</v>
      </c>
      <c r="G57" s="6" t="n">
        <v>56</v>
      </c>
      <c r="H57" s="6" t="n">
        <v>78</v>
      </c>
      <c r="I57" s="6" t="inlineStr">
        <is>
          <t>***建筑工程有限公司</t>
        </is>
      </c>
      <c r="J57" s="6" t="b">
        <v>0</v>
      </c>
      <c r="K57" s="6" t="n">
        <v>100</v>
      </c>
      <c r="L57" s="6" t="n">
        <v>0.1025</v>
      </c>
      <c r="M57" s="6" t="n">
        <v>0.731275401311664</v>
      </c>
      <c r="N57" s="6" t="n">
        <v>0.01266304962733256</v>
      </c>
      <c r="O57" s="6" t="inlineStr"/>
      <c r="P57" s="6" t="n">
        <v>0.268724598688336</v>
      </c>
      <c r="Q57" s="6" t="n">
        <v>26.8724598688336</v>
      </c>
      <c r="R57" s="6" t="n">
        <v>10.25</v>
      </c>
      <c r="S57" s="6" t="n">
        <v>2.63532130822393</v>
      </c>
      <c r="T57" s="6" t="n">
        <v>0.6972048487698347</v>
      </c>
      <c r="U57" s="6" t="n">
        <v>0.67181149672084</v>
      </c>
      <c r="V57" s="9">
        <f>K57*(1-M57)*((1-B57)*L57-B57*'模型说明与假设'!$B$7-'模型说明与假设'!$B$8)</f>
        <v/>
      </c>
      <c r="W57" s="6" t="b">
        <v>0</v>
      </c>
    </row>
    <row r="58">
      <c r="A58" s="6" t="inlineStr">
        <is>
          <t>E212</t>
        </is>
      </c>
      <c r="B58" s="6" t="n">
        <v>0.04326917755095708</v>
      </c>
      <c r="C58" s="6" t="inlineStr">
        <is>
          <t>A</t>
        </is>
      </c>
      <c r="D58" s="6" t="n">
        <v>0.7342734750931665</v>
      </c>
      <c r="E58" s="6" t="n">
        <v>0.08306824868167396</v>
      </c>
      <c r="F58" s="6" t="n">
        <v>0.2295397934051993</v>
      </c>
      <c r="G58" s="6" t="n">
        <v>57</v>
      </c>
      <c r="H58" s="6" t="n">
        <v>61</v>
      </c>
      <c r="I58" s="6" t="inlineStr">
        <is>
          <t>***建电管理咨询有限公司</t>
        </is>
      </c>
      <c r="J58" s="6" t="b">
        <v>0</v>
      </c>
      <c r="K58" s="6" t="n">
        <v>100</v>
      </c>
      <c r="L58" s="6" t="n">
        <v>0.1025</v>
      </c>
      <c r="M58" s="6" t="n">
        <v>0.731275401311664</v>
      </c>
      <c r="N58" s="6" t="n">
        <v>0.01265784300634494</v>
      </c>
      <c r="O58" s="6" t="inlineStr"/>
      <c r="P58" s="6" t="n">
        <v>0.268724598688336</v>
      </c>
      <c r="Q58" s="6" t="n">
        <v>26.8724598688336</v>
      </c>
      <c r="R58" s="6" t="n">
        <v>10.25</v>
      </c>
      <c r="S58" s="6" t="n">
        <v>2.635245339732652</v>
      </c>
      <c r="T58" s="6" t="n">
        <v>0.6976495423773179</v>
      </c>
      <c r="U58" s="6" t="n">
        <v>0.67181149672084</v>
      </c>
      <c r="V58" s="9">
        <f>K58*(1-M58)*((1-B58)*L58-B58*'模型说明与假设'!$B$7-'模型说明与假设'!$B$8)</f>
        <v/>
      </c>
      <c r="W58" s="6" t="b">
        <v>0</v>
      </c>
    </row>
    <row r="59">
      <c r="A59" s="6" t="inlineStr">
        <is>
          <t>E150</t>
        </is>
      </c>
      <c r="B59" s="6" t="n">
        <v>0.04352169794382738</v>
      </c>
      <c r="C59" s="6" t="inlineStr">
        <is>
          <t>A</t>
        </is>
      </c>
      <c r="D59" s="6" t="n">
        <v>0.7621098917372865</v>
      </c>
      <c r="E59" s="6" t="n">
        <v>0.07114461356225965</v>
      </c>
      <c r="F59" s="6" t="n">
        <v>0.2279204214735446</v>
      </c>
      <c r="G59" s="6" t="n">
        <v>58</v>
      </c>
      <c r="H59" s="6" t="n">
        <v>22</v>
      </c>
      <c r="I59" s="6" t="inlineStr">
        <is>
          <t>***建设工程有限公司</t>
        </is>
      </c>
      <c r="J59" s="6" t="b">
        <v>0</v>
      </c>
      <c r="K59" s="6" t="n">
        <v>100</v>
      </c>
      <c r="L59" s="6" t="n">
        <v>0.1025</v>
      </c>
      <c r="M59" s="6" t="n">
        <v>0.731275401311664</v>
      </c>
      <c r="N59" s="6" t="n">
        <v>0.01261017245137757</v>
      </c>
      <c r="O59" s="6" t="inlineStr"/>
      <c r="P59" s="6" t="n">
        <v>0.268724598688336</v>
      </c>
      <c r="Q59" s="6" t="n">
        <v>26.8724598688336</v>
      </c>
      <c r="R59" s="6" t="n">
        <v>10.25</v>
      </c>
      <c r="S59" s="6" t="n">
        <v>2.634549790709996</v>
      </c>
      <c r="T59" s="6" t="n">
        <v>0.7017210488513993</v>
      </c>
      <c r="U59" s="6" t="n">
        <v>0.67181149672084</v>
      </c>
      <c r="V59" s="9">
        <f>K59*(1-M59)*((1-B59)*L59-B59*'模型说明与假设'!$B$7-'模型说明与假设'!$B$8)</f>
        <v/>
      </c>
      <c r="W59" s="6" t="b">
        <v>0</v>
      </c>
    </row>
    <row r="60">
      <c r="A60" s="6" t="inlineStr">
        <is>
          <t>E159</t>
        </is>
      </c>
      <c r="B60" s="6" t="n">
        <v>0.04405657966243549</v>
      </c>
      <c r="C60" s="6" t="inlineStr">
        <is>
          <t>A</t>
        </is>
      </c>
      <c r="D60" s="6" t="n">
        <v>0.7464250769923899</v>
      </c>
      <c r="E60" s="6" t="n">
        <v>0.07785883672142255</v>
      </c>
      <c r="F60" s="6" t="n">
        <v>0.2291858654831639</v>
      </c>
      <c r="G60" s="6" t="n">
        <v>59</v>
      </c>
      <c r="H60" s="6" t="n">
        <v>43</v>
      </c>
      <c r="I60" s="6" t="inlineStr">
        <is>
          <t xml:space="preserve">个体经营E159 </t>
        </is>
      </c>
      <c r="J60" s="6" t="b">
        <v>0</v>
      </c>
      <c r="K60" s="6" t="n">
        <v>100</v>
      </c>
      <c r="L60" s="6" t="n">
        <v>0.1025</v>
      </c>
      <c r="M60" s="6" t="n">
        <v>0.731275401311664</v>
      </c>
      <c r="N60" s="6" t="n">
        <v>0.01250919799906454</v>
      </c>
      <c r="O60" s="6" t="inlineStr"/>
      <c r="P60" s="6" t="n">
        <v>0.268724598688336</v>
      </c>
      <c r="Q60" s="6" t="n">
        <v>26.8724598688336</v>
      </c>
      <c r="R60" s="6" t="n">
        <v>10.25</v>
      </c>
      <c r="S60" s="6" t="n">
        <v>2.633076497989415</v>
      </c>
      <c r="T60" s="6" t="n">
        <v>0.7103452013621209</v>
      </c>
      <c r="U60" s="6" t="n">
        <v>0.67181149672084</v>
      </c>
      <c r="V60" s="9">
        <f>K60*(1-M60)*((1-B60)*L60-B60*'模型说明与假设'!$B$7-'模型说明与假设'!$B$8)</f>
        <v/>
      </c>
      <c r="W60" s="6" t="b">
        <v>0</v>
      </c>
    </row>
    <row r="61">
      <c r="A61" s="6" t="inlineStr">
        <is>
          <t>E308</t>
        </is>
      </c>
      <c r="B61" s="6" t="n">
        <v>0.04509463613451662</v>
      </c>
      <c r="C61" s="6" t="inlineStr">
        <is>
          <t>A</t>
        </is>
      </c>
      <c r="D61" s="6" t="n">
        <v>0.7130151779990307</v>
      </c>
      <c r="E61" s="6" t="n">
        <v>0.08838215368860652</v>
      </c>
      <c r="F61" s="6" t="n">
        <v>0.2195858882181813</v>
      </c>
      <c r="G61" s="6" t="n">
        <v>60</v>
      </c>
      <c r="H61" s="6" t="n">
        <v>94</v>
      </c>
      <c r="I61" s="6" t="inlineStr">
        <is>
          <t>***餐饮文化服务有限公司</t>
        </is>
      </c>
      <c r="J61" s="6" t="b">
        <v>0</v>
      </c>
      <c r="K61" s="6" t="n">
        <v>100</v>
      </c>
      <c r="L61" s="6" t="n">
        <v>0.1025</v>
      </c>
      <c r="M61" s="6" t="n">
        <v>0.731275401311664</v>
      </c>
      <c r="N61" s="6" t="n">
        <v>0.01231323470457927</v>
      </c>
      <c r="O61" s="6" t="inlineStr"/>
      <c r="P61" s="6" t="n">
        <v>0.268724598688336</v>
      </c>
      <c r="Q61" s="6" t="n">
        <v>26.8724598688336</v>
      </c>
      <c r="R61" s="6" t="n">
        <v>10.25</v>
      </c>
      <c r="S61" s="6" t="n">
        <v>2.630217247073437</v>
      </c>
      <c r="T61" s="6" t="n">
        <v>0.7270822798946708</v>
      </c>
      <c r="U61" s="6" t="n">
        <v>0.67181149672084</v>
      </c>
      <c r="V61" s="9">
        <f>K61*(1-M61)*((1-B61)*L61-B61*'模型说明与假设'!$B$7-'模型说明与假设'!$B$8)</f>
        <v/>
      </c>
      <c r="W61" s="6" t="b">
        <v>0</v>
      </c>
    </row>
    <row r="62">
      <c r="A62" s="6" t="inlineStr">
        <is>
          <t>E175</t>
        </is>
      </c>
      <c r="B62" s="6" t="n">
        <v>0.0451703761541593</v>
      </c>
      <c r="C62" s="6" t="inlineStr">
        <is>
          <t>A</t>
        </is>
      </c>
      <c r="D62" s="6" t="n">
        <v>0.5824654948638698</v>
      </c>
      <c r="E62" s="6" t="n">
        <v>0.1383722037346634</v>
      </c>
      <c r="F62" s="6" t="n">
        <v>0.1930308348945618</v>
      </c>
      <c r="G62" s="6" t="n">
        <v>61</v>
      </c>
      <c r="H62" s="6" t="n">
        <v>240</v>
      </c>
      <c r="I62" s="6" t="inlineStr">
        <is>
          <t>***食品集团有限公司</t>
        </is>
      </c>
      <c r="J62" s="6" t="b">
        <v>0</v>
      </c>
      <c r="K62" s="6" t="n">
        <v>100</v>
      </c>
      <c r="L62" s="6" t="n">
        <v>0.1025</v>
      </c>
      <c r="M62" s="6" t="n">
        <v>0.731275401311664</v>
      </c>
      <c r="N62" s="6" t="n">
        <v>0.01229893657709512</v>
      </c>
      <c r="O62" s="6" t="inlineStr"/>
      <c r="P62" s="6" t="n">
        <v>0.268724598688336</v>
      </c>
      <c r="Q62" s="6" t="n">
        <v>26.8724598688336</v>
      </c>
      <c r="R62" s="6" t="n">
        <v>10.25</v>
      </c>
      <c r="S62" s="6" t="n">
        <v>2.63000862670801</v>
      </c>
      <c r="T62" s="6" t="n">
        <v>0.7283034722776583</v>
      </c>
      <c r="U62" s="6" t="n">
        <v>0.67181149672084</v>
      </c>
      <c r="V62" s="9">
        <f>K62*(1-M62)*((1-B62)*L62-B62*'模型说明与假设'!$B$7-'模型说明与假设'!$B$8)</f>
        <v/>
      </c>
      <c r="W62" s="6" t="b">
        <v>0</v>
      </c>
    </row>
    <row r="63">
      <c r="A63" s="6" t="inlineStr">
        <is>
          <t>E315</t>
        </is>
      </c>
      <c r="B63" s="6" t="n">
        <v>0.04558905821389736</v>
      </c>
      <c r="C63" s="6" t="inlineStr">
        <is>
          <t>A</t>
        </is>
      </c>
      <c r="D63" s="6" t="n">
        <v>0.714189631987169</v>
      </c>
      <c r="E63" s="6" t="n">
        <v>0.08987842734674044</v>
      </c>
      <c r="F63" s="6" t="n">
        <v>0.2245903162878694</v>
      </c>
      <c r="G63" s="6" t="n">
        <v>62</v>
      </c>
      <c r="H63" s="6" t="n">
        <v>93</v>
      </c>
      <c r="I63" s="6" t="inlineStr">
        <is>
          <t>***轮胎有限公司</t>
        </is>
      </c>
      <c r="J63" s="6" t="b">
        <v>0</v>
      </c>
      <c r="K63" s="6" t="n">
        <v>100</v>
      </c>
      <c r="L63" s="6" t="n">
        <v>0.1025</v>
      </c>
      <c r="M63" s="6" t="n">
        <v>0.731275401311664</v>
      </c>
      <c r="N63" s="6" t="n">
        <v>0.01221989818373714</v>
      </c>
      <c r="O63" s="6" t="inlineStr"/>
      <c r="P63" s="6" t="n">
        <v>0.268724598688336</v>
      </c>
      <c r="Q63" s="6" t="n">
        <v>26.8724598688336</v>
      </c>
      <c r="R63" s="6" t="n">
        <v>10.25</v>
      </c>
      <c r="S63" s="6" t="n">
        <v>2.628855397481079</v>
      </c>
      <c r="T63" s="6" t="n">
        <v>0.7350540823865254</v>
      </c>
      <c r="U63" s="6" t="n">
        <v>0.67181149672084</v>
      </c>
      <c r="V63" s="9">
        <f>K63*(1-M63)*((1-B63)*L63-B63*'模型说明与假设'!$B$7-'模型说明与假设'!$B$8)</f>
        <v/>
      </c>
      <c r="W63" s="6" t="b">
        <v>0</v>
      </c>
    </row>
    <row r="64">
      <c r="A64" s="6" t="inlineStr">
        <is>
          <t>E143</t>
        </is>
      </c>
      <c r="B64" s="6" t="n">
        <v>0.04580673499203931</v>
      </c>
      <c r="C64" s="6" t="inlineStr">
        <is>
          <t>A</t>
        </is>
      </c>
      <c r="D64" s="6" t="n">
        <v>0.7759093916870478</v>
      </c>
      <c r="E64" s="6" t="n">
        <v>0.06728677871469255</v>
      </c>
      <c r="F64" s="6" t="n">
        <v>0.2329791682665556</v>
      </c>
      <c r="G64" s="6" t="n">
        <v>63</v>
      </c>
      <c r="H64" s="6" t="n">
        <v>13</v>
      </c>
      <c r="I64" s="6" t="inlineStr">
        <is>
          <t>***电子科技有限公司</t>
        </is>
      </c>
      <c r="J64" s="6" t="b">
        <v>0</v>
      </c>
      <c r="K64" s="6" t="n">
        <v>100</v>
      </c>
      <c r="L64" s="6" t="n">
        <v>0.1025</v>
      </c>
      <c r="M64" s="6" t="n">
        <v>0.731275401311664</v>
      </c>
      <c r="N64" s="6" t="n">
        <v>0.01217880537258004</v>
      </c>
      <c r="O64" s="6" t="inlineStr"/>
      <c r="P64" s="6" t="n">
        <v>0.268724598688336</v>
      </c>
      <c r="Q64" s="6" t="n">
        <v>26.8724598688336</v>
      </c>
      <c r="R64" s="6" t="n">
        <v>10.25</v>
      </c>
      <c r="S64" s="6" t="n">
        <v>2.628255822656366</v>
      </c>
      <c r="T64" s="6" t="n">
        <v>0.7385637886775233</v>
      </c>
      <c r="U64" s="6" t="n">
        <v>0.67181149672084</v>
      </c>
      <c r="V64" s="9">
        <f>K64*(1-M64)*((1-B64)*L64-B64*'模型说明与假设'!$B$7-'模型说明与假设'!$B$8)</f>
        <v/>
      </c>
      <c r="W64" s="6" t="b">
        <v>0</v>
      </c>
    </row>
    <row r="65">
      <c r="A65" s="6" t="inlineStr">
        <is>
          <t>E228</t>
        </is>
      </c>
      <c r="B65" s="6" t="n">
        <v>0.04588346091911708</v>
      </c>
      <c r="C65" s="6" t="inlineStr">
        <is>
          <t>A</t>
        </is>
      </c>
      <c r="D65" s="6" t="n">
        <v>0.7494231632767328</v>
      </c>
      <c r="E65" s="6" t="n">
        <v>0.07631369306448955</v>
      </c>
      <c r="F65" s="6" t="n">
        <v>0.22823837193252</v>
      </c>
      <c r="G65" s="6" t="n">
        <v>64</v>
      </c>
      <c r="H65" s="6" t="n">
        <v>36</v>
      </c>
      <c r="I65" s="6" t="inlineStr">
        <is>
          <t>***文化发展有限公司</t>
        </is>
      </c>
      <c r="J65" s="6" t="b">
        <v>0</v>
      </c>
      <c r="K65" s="6" t="n">
        <v>100</v>
      </c>
      <c r="L65" s="6" t="n">
        <v>0.1025</v>
      </c>
      <c r="M65" s="6" t="n">
        <v>0.731275401311664</v>
      </c>
      <c r="N65" s="6" t="n">
        <v>0.01216432112644605</v>
      </c>
      <c r="O65" s="6" t="inlineStr"/>
      <c r="P65" s="6" t="n">
        <v>0.268724598688336</v>
      </c>
      <c r="Q65" s="6" t="n">
        <v>26.8724598688336</v>
      </c>
      <c r="R65" s="6" t="n">
        <v>10.25</v>
      </c>
      <c r="S65" s="6" t="n">
        <v>2.628044486680746</v>
      </c>
      <c r="T65" s="6" t="n">
        <v>0.7398008773153011</v>
      </c>
      <c r="U65" s="6" t="n">
        <v>0.67181149672084</v>
      </c>
      <c r="V65" s="9">
        <f>K65*(1-M65)*((1-B65)*L65-B65*'模型说明与假设'!$B$7-'模型说明与假设'!$B$8)</f>
        <v/>
      </c>
      <c r="W65" s="6" t="b">
        <v>0</v>
      </c>
    </row>
    <row r="66">
      <c r="A66" s="6" t="inlineStr">
        <is>
          <t>E178</t>
        </is>
      </c>
      <c r="B66" s="6" t="n">
        <v>0.04598668078768669</v>
      </c>
      <c r="C66" s="6" t="inlineStr">
        <is>
          <t>A</t>
        </is>
      </c>
      <c r="D66" s="6" t="n">
        <v>0.5830515453993946</v>
      </c>
      <c r="E66" s="6" t="n">
        <v>0.1390073337564575</v>
      </c>
      <c r="F66" s="6" t="n">
        <v>0.1943847971476192</v>
      </c>
      <c r="G66" s="6" t="n">
        <v>65</v>
      </c>
      <c r="H66" s="6" t="n">
        <v>238</v>
      </c>
      <c r="I66" s="6" t="inlineStr">
        <is>
          <t>***贸易有限公司</t>
        </is>
      </c>
      <c r="J66" s="6" t="b">
        <v>0</v>
      </c>
      <c r="K66" s="6" t="n">
        <v>100</v>
      </c>
      <c r="L66" s="6" t="n">
        <v>0.1025</v>
      </c>
      <c r="M66" s="6" t="n">
        <v>0.731275401311664</v>
      </c>
      <c r="N66" s="6" t="n">
        <v>0.01214483537972103</v>
      </c>
      <c r="O66" s="6" t="inlineStr"/>
      <c r="P66" s="6" t="n">
        <v>0.268724598688336</v>
      </c>
      <c r="Q66" s="6" t="n">
        <v>26.8724598688336</v>
      </c>
      <c r="R66" s="6" t="n">
        <v>10.25</v>
      </c>
      <c r="S66" s="6" t="n">
        <v>2.627760175073727</v>
      </c>
      <c r="T66" s="6" t="n">
        <v>0.7414651403807829</v>
      </c>
      <c r="U66" s="6" t="n">
        <v>0.67181149672084</v>
      </c>
      <c r="V66" s="9">
        <f>K66*(1-M66)*((1-B66)*L66-B66*'模型说明与假设'!$B$7-'模型说明与假设'!$B$8)</f>
        <v/>
      </c>
      <c r="W66" s="6" t="b">
        <v>0</v>
      </c>
    </row>
    <row r="67">
      <c r="A67" s="6" t="inlineStr">
        <is>
          <t>E348</t>
        </is>
      </c>
      <c r="B67" s="6" t="n">
        <v>0.04659731665926992</v>
      </c>
      <c r="C67" s="6" t="inlineStr">
        <is>
          <t>A</t>
        </is>
      </c>
      <c r="D67" s="6" t="n">
        <v>0.6873210743793147</v>
      </c>
      <c r="E67" s="6" t="n">
        <v>0.1004824680722117</v>
      </c>
      <c r="F67" s="6" t="n">
        <v>0.2208774312966003</v>
      </c>
      <c r="G67" s="6" t="n">
        <v>66</v>
      </c>
      <c r="H67" s="6" t="n">
        <v>137</v>
      </c>
      <c r="I67" s="6" t="inlineStr">
        <is>
          <t>***酒店管理有限公司</t>
        </is>
      </c>
      <c r="J67" s="6" t="b">
        <v>0</v>
      </c>
      <c r="K67" s="6" t="n">
        <v>100</v>
      </c>
      <c r="L67" s="6" t="n">
        <v>0.1025</v>
      </c>
      <c r="M67" s="6" t="n">
        <v>0.731275401311664</v>
      </c>
      <c r="N67" s="6" t="n">
        <v>0.01202956013184706</v>
      </c>
      <c r="O67" s="6" t="inlineStr"/>
      <c r="P67" s="6" t="n">
        <v>0.268724598688336</v>
      </c>
      <c r="Q67" s="6" t="n">
        <v>26.8724598688336</v>
      </c>
      <c r="R67" s="6" t="n">
        <v>10.25</v>
      </c>
      <c r="S67" s="6" t="n">
        <v>2.626078223058483</v>
      </c>
      <c r="T67" s="6" t="n">
        <v>0.7513107131529373</v>
      </c>
      <c r="U67" s="6" t="n">
        <v>0.67181149672084</v>
      </c>
      <c r="V67" s="9">
        <f>K67*(1-M67)*((1-B67)*L67-B67*'模型说明与假设'!$B$7-'模型说明与假设'!$B$8)</f>
        <v/>
      </c>
      <c r="W67" s="6" t="b">
        <v>0</v>
      </c>
    </row>
    <row r="68">
      <c r="A68" s="6" t="inlineStr">
        <is>
          <t>E172</t>
        </is>
      </c>
      <c r="B68" s="6" t="n">
        <v>0.04690030864572727</v>
      </c>
      <c r="C68" s="6" t="inlineStr">
        <is>
          <t>A</t>
        </is>
      </c>
      <c r="D68" s="6" t="n">
        <v>0.7488425358695956</v>
      </c>
      <c r="E68" s="6" t="n">
        <v>0.07637442143743646</v>
      </c>
      <c r="F68" s="6" t="n">
        <v>0.2277153721980886</v>
      </c>
      <c r="G68" s="6" t="n">
        <v>67</v>
      </c>
      <c r="H68" s="6" t="n">
        <v>39</v>
      </c>
      <c r="I68" s="6" t="inlineStr">
        <is>
          <t>***物流有限公司</t>
        </is>
      </c>
      <c r="J68" s="6" t="b">
        <v>0</v>
      </c>
      <c r="K68" s="6" t="n">
        <v>100</v>
      </c>
      <c r="L68" s="6" t="n">
        <v>0.1025</v>
      </c>
      <c r="M68" s="6" t="n">
        <v>0.731275401311664</v>
      </c>
      <c r="N68" s="6" t="n">
        <v>0.01197236159837057</v>
      </c>
      <c r="O68" s="6" t="inlineStr"/>
      <c r="P68" s="6" t="n">
        <v>0.268724598688336</v>
      </c>
      <c r="Q68" s="6" t="n">
        <v>26.8724598688336</v>
      </c>
      <c r="R68" s="6" t="n">
        <v>10.25</v>
      </c>
      <c r="S68" s="6" t="n">
        <v>2.625243653708827</v>
      </c>
      <c r="T68" s="6" t="n">
        <v>0.7561959971509293</v>
      </c>
      <c r="U68" s="6" t="n">
        <v>0.67181149672084</v>
      </c>
      <c r="V68" s="9">
        <f>K68*(1-M68)*((1-B68)*L68-B68*'模型说明与假设'!$B$7-'模型说明与假设'!$B$8)</f>
        <v/>
      </c>
      <c r="W68" s="6" t="b">
        <v>0</v>
      </c>
    </row>
    <row r="69">
      <c r="A69" s="6" t="inlineStr">
        <is>
          <t>E298</t>
        </is>
      </c>
      <c r="B69" s="6" t="n">
        <v>0.04762694213132843</v>
      </c>
      <c r="C69" s="6" t="inlineStr">
        <is>
          <t>A</t>
        </is>
      </c>
      <c r="D69" s="6" t="n">
        <v>0.7259259125620074</v>
      </c>
      <c r="E69" s="6" t="n">
        <v>0.08447355665310106</v>
      </c>
      <c r="F69" s="6" t="n">
        <v>0.2237407566471763</v>
      </c>
      <c r="G69" s="6" t="n">
        <v>68</v>
      </c>
      <c r="H69" s="6" t="n">
        <v>71</v>
      </c>
      <c r="I69" s="6" t="inlineStr">
        <is>
          <t>***电器维护服务有限公司</t>
        </is>
      </c>
      <c r="J69" s="6" t="b">
        <v>0</v>
      </c>
      <c r="K69" s="6" t="n">
        <v>100</v>
      </c>
      <c r="L69" s="6" t="n">
        <v>0.1025</v>
      </c>
      <c r="M69" s="6" t="n">
        <v>0.731275401311664</v>
      </c>
      <c r="N69" s="6" t="n">
        <v>0.01183518843337287</v>
      </c>
      <c r="O69" s="6" t="inlineStr"/>
      <c r="P69" s="6" t="n">
        <v>0.268724598688336</v>
      </c>
      <c r="Q69" s="6" t="n">
        <v>26.8724598688336</v>
      </c>
      <c r="R69" s="6" t="n">
        <v>10.25</v>
      </c>
      <c r="S69" s="6" t="n">
        <v>2.623242194717757</v>
      </c>
      <c r="T69" s="6" t="n">
        <v>0.7679118546596301</v>
      </c>
      <c r="U69" s="6" t="n">
        <v>0.67181149672084</v>
      </c>
      <c r="V69" s="9">
        <f>K69*(1-M69)*((1-B69)*L69-B69*'模型说明与假设'!$B$7-'模型说明与假设'!$B$8)</f>
        <v/>
      </c>
      <c r="W69" s="6" t="b">
        <v>0</v>
      </c>
    </row>
    <row r="70">
      <c r="A70" s="6" t="inlineStr">
        <is>
          <t>E160</t>
        </is>
      </c>
      <c r="B70" s="6" t="n">
        <v>0.048193444411011</v>
      </c>
      <c r="C70" s="6" t="inlineStr">
        <is>
          <t>A</t>
        </is>
      </c>
      <c r="D70" s="6" t="n">
        <v>0.7435076313343799</v>
      </c>
      <c r="E70" s="6" t="n">
        <v>0.0790757206680834</v>
      </c>
      <c r="F70" s="6" t="n">
        <v>0.2292208617194089</v>
      </c>
      <c r="G70" s="6" t="n">
        <v>69</v>
      </c>
      <c r="H70" s="6" t="n">
        <v>48</v>
      </c>
      <c r="I70" s="6" t="inlineStr">
        <is>
          <t>***钢结构工程有限公司</t>
        </is>
      </c>
      <c r="J70" s="6" t="b">
        <v>0</v>
      </c>
      <c r="K70" s="6" t="n">
        <v>100</v>
      </c>
      <c r="L70" s="6" t="n">
        <v>0.1025</v>
      </c>
      <c r="M70" s="6" t="n">
        <v>0.731275401311664</v>
      </c>
      <c r="N70" s="6" t="n">
        <v>0.01172824468219385</v>
      </c>
      <c r="O70" s="6" t="inlineStr"/>
      <c r="P70" s="6" t="n">
        <v>0.268724598688336</v>
      </c>
      <c r="Q70" s="6" t="n">
        <v>26.8724598688336</v>
      </c>
      <c r="R70" s="6" t="n">
        <v>10.25</v>
      </c>
      <c r="S70" s="6" t="n">
        <v>2.621681805465678</v>
      </c>
      <c r="T70" s="6" t="n">
        <v>0.7770458405254534</v>
      </c>
      <c r="U70" s="6" t="n">
        <v>0.67181149672084</v>
      </c>
      <c r="V70" s="9">
        <f>K70*(1-M70)*((1-B70)*L70-B70*'模型说明与假设'!$B$7-'模型说明与假设'!$B$8)</f>
        <v/>
      </c>
      <c r="W70" s="6" t="b">
        <v>0</v>
      </c>
    </row>
    <row r="71">
      <c r="A71" s="6" t="inlineStr">
        <is>
          <t>E174</t>
        </is>
      </c>
      <c r="B71" s="6" t="n">
        <v>0.04829529335596871</v>
      </c>
      <c r="C71" s="6" t="inlineStr">
        <is>
          <t>A</t>
        </is>
      </c>
      <c r="D71" s="6" t="n">
        <v>0.7475679737520302</v>
      </c>
      <c r="E71" s="6" t="n">
        <v>0.07652646169874799</v>
      </c>
      <c r="F71" s="6" t="n">
        <v>0.2266302448261771</v>
      </c>
      <c r="G71" s="6" t="n">
        <v>70</v>
      </c>
      <c r="H71" s="6" t="n">
        <v>41</v>
      </c>
      <c r="I71" s="6" t="inlineStr">
        <is>
          <t>***工程技术有限公司</t>
        </is>
      </c>
      <c r="J71" s="6" t="b">
        <v>0</v>
      </c>
      <c r="K71" s="6" t="n">
        <v>100</v>
      </c>
      <c r="L71" s="6" t="n">
        <v>0.1025</v>
      </c>
      <c r="M71" s="6" t="n">
        <v>0.731275401311664</v>
      </c>
      <c r="N71" s="6" t="n">
        <v>0.01170901773709928</v>
      </c>
      <c r="O71" s="6" t="inlineStr"/>
      <c r="P71" s="6" t="n">
        <v>0.268724598688336</v>
      </c>
      <c r="Q71" s="6" t="n">
        <v>26.8724598688336</v>
      </c>
      <c r="R71" s="6" t="n">
        <v>10.25</v>
      </c>
      <c r="S71" s="6" t="n">
        <v>2.621401269967857</v>
      </c>
      <c r="T71" s="6" t="n">
        <v>0.778687999537089</v>
      </c>
      <c r="U71" s="6" t="n">
        <v>0.67181149672084</v>
      </c>
      <c r="V71" s="9">
        <f>K71*(1-M71)*((1-B71)*L71-B71*'模型说明与假设'!$B$7-'模型说明与假设'!$B$8)</f>
        <v/>
      </c>
      <c r="W71" s="6" t="b">
        <v>0</v>
      </c>
    </row>
    <row r="72">
      <c r="A72" s="6" t="inlineStr">
        <is>
          <t>E170</t>
        </is>
      </c>
      <c r="B72" s="6" t="n">
        <v>0.04921503885906406</v>
      </c>
      <c r="C72" s="6" t="inlineStr">
        <is>
          <t>A</t>
        </is>
      </c>
      <c r="D72" s="6" t="n">
        <v>0.7100355997091671</v>
      </c>
      <c r="E72" s="6" t="n">
        <v>0.08978738474104721</v>
      </c>
      <c r="F72" s="6" t="n">
        <v>0.2198622986372947</v>
      </c>
      <c r="G72" s="6" t="n">
        <v>71</v>
      </c>
      <c r="H72" s="6" t="n">
        <v>100</v>
      </c>
      <c r="I72" s="6" t="inlineStr">
        <is>
          <t>***建筑劳务有限公司</t>
        </is>
      </c>
      <c r="J72" s="6" t="b">
        <v>0</v>
      </c>
      <c r="K72" s="6" t="n">
        <v>100</v>
      </c>
      <c r="L72" s="6" t="n">
        <v>0.1025</v>
      </c>
      <c r="M72" s="6" t="n">
        <v>0.731275401311664</v>
      </c>
      <c r="N72" s="6" t="n">
        <v>0.01153538907264596</v>
      </c>
      <c r="O72" s="6" t="inlineStr"/>
      <c r="P72" s="6" t="n">
        <v>0.268724598688336</v>
      </c>
      <c r="Q72" s="6" t="n">
        <v>26.8724598688336</v>
      </c>
      <c r="R72" s="6" t="n">
        <v>10.25</v>
      </c>
      <c r="S72" s="6" t="n">
        <v>2.618867897995407</v>
      </c>
      <c r="T72" s="6" t="n">
        <v>0.7935174940099711</v>
      </c>
      <c r="U72" s="6" t="n">
        <v>0.67181149672084</v>
      </c>
      <c r="V72" s="9">
        <f>K72*(1-M72)*((1-B72)*L72-B72*'模型说明与假设'!$B$7-'模型说明与假设'!$B$8)</f>
        <v/>
      </c>
      <c r="W72" s="6" t="b">
        <v>0</v>
      </c>
    </row>
    <row r="73">
      <c r="A73" s="6" t="inlineStr">
        <is>
          <t>E259</t>
        </is>
      </c>
      <c r="B73" s="6" t="n">
        <v>0.04952850396508304</v>
      </c>
      <c r="C73" s="6" t="inlineStr">
        <is>
          <t>A</t>
        </is>
      </c>
      <c r="D73" s="6" t="n">
        <v>0.740157099042709</v>
      </c>
      <c r="E73" s="6" t="n">
        <v>0.07920802621131805</v>
      </c>
      <c r="F73" s="6" t="n">
        <v>0.2256224152573794</v>
      </c>
      <c r="G73" s="6" t="n">
        <v>72</v>
      </c>
      <c r="H73" s="6" t="n">
        <v>52</v>
      </c>
      <c r="I73" s="6" t="inlineStr">
        <is>
          <t>***文化传媒有限公司</t>
        </is>
      </c>
      <c r="J73" s="6" t="b">
        <v>0</v>
      </c>
      <c r="K73" s="6" t="n">
        <v>100</v>
      </c>
      <c r="L73" s="6" t="n">
        <v>0.1025</v>
      </c>
      <c r="M73" s="6" t="n">
        <v>0.731275401311664</v>
      </c>
      <c r="N73" s="6" t="n">
        <v>0.01147621343381149</v>
      </c>
      <c r="O73" s="6" t="inlineStr"/>
      <c r="P73" s="6" t="n">
        <v>0.268724598688336</v>
      </c>
      <c r="Q73" s="6" t="n">
        <v>26.8724598688336</v>
      </c>
      <c r="R73" s="6" t="n">
        <v>10.25</v>
      </c>
      <c r="S73" s="6" t="n">
        <v>2.618004481201025</v>
      </c>
      <c r="T73" s="6" t="n">
        <v>0.7985716410990358</v>
      </c>
      <c r="U73" s="6" t="n">
        <v>0.67181149672084</v>
      </c>
      <c r="V73" s="9">
        <f>K73*(1-M73)*((1-B73)*L73-B73*'模型说明与假设'!$B$7-'模型说明与假设'!$B$8)</f>
        <v/>
      </c>
      <c r="W73" s="6" t="b">
        <v>0</v>
      </c>
    </row>
    <row r="74">
      <c r="A74" s="6" t="inlineStr">
        <is>
          <t>E168</t>
        </is>
      </c>
      <c r="B74" s="6" t="n">
        <v>0.05013175812459406</v>
      </c>
      <c r="C74" s="6" t="inlineStr">
        <is>
          <t>A</t>
        </is>
      </c>
      <c r="D74" s="6" t="n">
        <v>0.6938974780821543</v>
      </c>
      <c r="E74" s="6" t="n">
        <v>0.1005258702552812</v>
      </c>
      <c r="F74" s="6" t="n">
        <v>0.2278800168489784</v>
      </c>
      <c r="G74" s="6" t="n">
        <v>73</v>
      </c>
      <c r="H74" s="6" t="n">
        <v>122</v>
      </c>
      <c r="I74" s="6" t="inlineStr">
        <is>
          <t>***建材有限公司</t>
        </is>
      </c>
      <c r="J74" s="6" t="b">
        <v>0</v>
      </c>
      <c r="K74" s="6" t="n">
        <v>100</v>
      </c>
      <c r="L74" s="6" t="n">
        <v>0.1025</v>
      </c>
      <c r="M74" s="6" t="n">
        <v>0.731275401311664</v>
      </c>
      <c r="N74" s="6" t="n">
        <v>0.01136233169838652</v>
      </c>
      <c r="O74" s="6" t="inlineStr"/>
      <c r="P74" s="6" t="n">
        <v>0.268724598688336</v>
      </c>
      <c r="Q74" s="6" t="n">
        <v>26.8724598688336</v>
      </c>
      <c r="R74" s="6" t="n">
        <v>10.25</v>
      </c>
      <c r="S74" s="6" t="n">
        <v>2.616342861573828</v>
      </c>
      <c r="T74" s="6" t="n">
        <v>0.808298195014336</v>
      </c>
      <c r="U74" s="6" t="n">
        <v>0.67181149672084</v>
      </c>
      <c r="V74" s="9">
        <f>K74*(1-M74)*((1-B74)*L74-B74*'模型说明与假设'!$B$7-'模型说明与假设'!$B$8)</f>
        <v/>
      </c>
      <c r="W74" s="6" t="b">
        <v>0</v>
      </c>
    </row>
    <row r="75">
      <c r="A75" s="6" t="inlineStr">
        <is>
          <t>E241</t>
        </is>
      </c>
      <c r="B75" s="6" t="n">
        <v>0.05092729558061004</v>
      </c>
      <c r="C75" s="6" t="inlineStr">
        <is>
          <t>A</t>
        </is>
      </c>
      <c r="D75" s="6" t="n">
        <v>0.7229955745510646</v>
      </c>
      <c r="E75" s="6" t="n">
        <v>0.08799162519835205</v>
      </c>
      <c r="F75" s="6" t="n">
        <v>0.2296625965915915</v>
      </c>
      <c r="G75" s="6" t="n">
        <v>74</v>
      </c>
      <c r="H75" s="6" t="n">
        <v>76</v>
      </c>
      <c r="I75" s="6" t="inlineStr">
        <is>
          <t xml:space="preserve">个体经营E241 </t>
        </is>
      </c>
      <c r="J75" s="6" t="b">
        <v>0</v>
      </c>
      <c r="K75" s="6" t="n">
        <v>100</v>
      </c>
      <c r="L75" s="6" t="n">
        <v>0.1225</v>
      </c>
      <c r="M75" s="6" t="n">
        <v>0.81480900767149</v>
      </c>
      <c r="N75" s="6" t="n">
        <v>0.0112420245492868</v>
      </c>
      <c r="O75" s="6" t="inlineStr"/>
      <c r="P75" s="6" t="n">
        <v>0.18519099232851</v>
      </c>
      <c r="Q75" s="6" t="n">
        <v>18.519099232851</v>
      </c>
      <c r="R75" s="6" t="n">
        <v>12.25</v>
      </c>
      <c r="S75" s="6" t="n">
        <v>2.153056520060786</v>
      </c>
      <c r="T75" s="6" t="n">
        <v>0.5658765843108309</v>
      </c>
      <c r="U75" s="6" t="n">
        <v>0.462977480821275</v>
      </c>
      <c r="V75" s="9">
        <f>K75*(1-M75)*((1-B75)*L75-B75*'模型说明与假设'!$B$7-'模型说明与假设'!$B$8)</f>
        <v/>
      </c>
      <c r="W75" s="6" t="b">
        <v>0</v>
      </c>
    </row>
    <row r="76">
      <c r="A76" s="6" t="inlineStr">
        <is>
          <t>E146</t>
        </is>
      </c>
      <c r="B76" s="6" t="n">
        <v>0.05132056334433443</v>
      </c>
      <c r="C76" s="6" t="inlineStr">
        <is>
          <t>A</t>
        </is>
      </c>
      <c r="D76" s="6" t="n">
        <v>0.7285199937694821</v>
      </c>
      <c r="E76" s="6" t="n">
        <v>0.08286386155161456</v>
      </c>
      <c r="F76" s="6" t="n">
        <v>0.2223662093555356</v>
      </c>
      <c r="G76" s="6" t="n">
        <v>75</v>
      </c>
      <c r="H76" s="6" t="n">
        <v>67</v>
      </c>
      <c r="I76" s="6" t="inlineStr">
        <is>
          <t>***基础建设工程有限公司</t>
        </is>
      </c>
      <c r="J76" s="6" t="b">
        <v>0</v>
      </c>
      <c r="K76" s="6" t="n">
        <v>100</v>
      </c>
      <c r="L76" s="6" t="n">
        <v>0.1225</v>
      </c>
      <c r="M76" s="6" t="n">
        <v>0.81480900767149</v>
      </c>
      <c r="N76" s="6" t="n">
        <v>0.01118940512902951</v>
      </c>
      <c r="O76" s="6" t="inlineStr"/>
      <c r="P76" s="6" t="n">
        <v>0.18519099232851</v>
      </c>
      <c r="Q76" s="6" t="n">
        <v>18.519099232851</v>
      </c>
      <c r="R76" s="6" t="n">
        <v>12.25</v>
      </c>
      <c r="S76" s="6" t="n">
        <v>2.152164356879953</v>
      </c>
      <c r="T76" s="6" t="n">
        <v>0.5702463631557269</v>
      </c>
      <c r="U76" s="6" t="n">
        <v>0.462977480821275</v>
      </c>
      <c r="V76" s="9">
        <f>K76*(1-M76)*((1-B76)*L76-B76*'模型说明与假设'!$B$7-'模型说明与假设'!$B$8)</f>
        <v/>
      </c>
      <c r="W76" s="6" t="b">
        <v>0</v>
      </c>
    </row>
    <row r="77">
      <c r="A77" s="6" t="inlineStr">
        <is>
          <t>E182</t>
        </is>
      </c>
      <c r="B77" s="6" t="n">
        <v>0.05231100482376645</v>
      </c>
      <c r="C77" s="6" t="inlineStr">
        <is>
          <t>A</t>
        </is>
      </c>
      <c r="D77" s="6" t="n">
        <v>0.7247521524026722</v>
      </c>
      <c r="E77" s="6" t="n">
        <v>0.08498377226936039</v>
      </c>
      <c r="F77" s="6" t="n">
        <v>0.2237698583627924</v>
      </c>
      <c r="G77" s="6" t="n">
        <v>76</v>
      </c>
      <c r="H77" s="6" t="n">
        <v>74</v>
      </c>
      <c r="I77" s="6" t="inlineStr">
        <is>
          <t>***新材料科技有限公司</t>
        </is>
      </c>
      <c r="J77" s="6" t="b">
        <v>0</v>
      </c>
      <c r="K77" s="6" t="n">
        <v>100</v>
      </c>
      <c r="L77" s="6" t="n">
        <v>0.1225</v>
      </c>
      <c r="M77" s="6" t="n">
        <v>0.81480900767149</v>
      </c>
      <c r="N77" s="6" t="n">
        <v>0.01105688357182654</v>
      </c>
      <c r="O77" s="6" t="inlineStr"/>
      <c r="P77" s="6" t="n">
        <v>0.18519099232851</v>
      </c>
      <c r="Q77" s="6" t="n">
        <v>18.519099232851</v>
      </c>
      <c r="R77" s="6" t="n">
        <v>12.25</v>
      </c>
      <c r="S77" s="6" t="n">
        <v>2.149917451584816</v>
      </c>
      <c r="T77" s="6" t="n">
        <v>0.5812516135808868</v>
      </c>
      <c r="U77" s="6" t="n">
        <v>0.462977480821275</v>
      </c>
      <c r="V77" s="9">
        <f>K77*(1-M77)*((1-B77)*L77-B77*'模型说明与假设'!$B$7-'模型说明与假设'!$B$8)</f>
        <v/>
      </c>
      <c r="W77" s="6" t="b">
        <v>0</v>
      </c>
    </row>
    <row r="78">
      <c r="A78" s="6" t="inlineStr">
        <is>
          <t>E224</t>
        </is>
      </c>
      <c r="B78" s="6" t="n">
        <v>0.05334392412449664</v>
      </c>
      <c r="C78" s="6" t="inlineStr">
        <is>
          <t>A</t>
        </is>
      </c>
      <c r="D78" s="6" t="n">
        <v>0.5662366275906696</v>
      </c>
      <c r="E78" s="6" t="n">
        <v>0.1478961106752267</v>
      </c>
      <c r="F78" s="6" t="n">
        <v>0.1930642379446685</v>
      </c>
      <c r="G78" s="6" t="n">
        <v>77</v>
      </c>
      <c r="H78" s="6" t="n">
        <v>251</v>
      </c>
      <c r="I78" s="6" t="inlineStr">
        <is>
          <t>***纸业有限公司</t>
        </is>
      </c>
      <c r="J78" s="6" t="b">
        <v>0</v>
      </c>
      <c r="K78" s="6" t="n">
        <v>100</v>
      </c>
      <c r="L78" s="6" t="n">
        <v>0.1225</v>
      </c>
      <c r="M78" s="6" t="n">
        <v>0.81480900767149</v>
      </c>
      <c r="N78" s="6" t="n">
        <v>0.01091867846123661</v>
      </c>
      <c r="O78" s="6" t="inlineStr"/>
      <c r="P78" s="6" t="n">
        <v>0.18519099232851</v>
      </c>
      <c r="Q78" s="6" t="n">
        <v>18.519099232851</v>
      </c>
      <c r="R78" s="6" t="n">
        <v>12.25</v>
      </c>
      <c r="S78" s="6" t="n">
        <v>2.147574181543672</v>
      </c>
      <c r="T78" s="6" t="n">
        <v>0.5927288545987365</v>
      </c>
      <c r="U78" s="6" t="n">
        <v>0.462977480821275</v>
      </c>
      <c r="V78" s="9">
        <f>K78*(1-M78)*((1-B78)*L78-B78*'模型说明与假设'!$B$7-'模型说明与假设'!$B$8)</f>
        <v/>
      </c>
      <c r="W78" s="6" t="b">
        <v>0</v>
      </c>
    </row>
    <row r="79">
      <c r="A79" s="6" t="inlineStr">
        <is>
          <t>E190</t>
        </is>
      </c>
      <c r="B79" s="6" t="n">
        <v>0.05408750544095667</v>
      </c>
      <c r="C79" s="6" t="inlineStr">
        <is>
          <t>A</t>
        </is>
      </c>
      <c r="D79" s="6" t="n">
        <v>0.6850003415947683</v>
      </c>
      <c r="E79" s="6" t="n">
        <v>0.1014964691442315</v>
      </c>
      <c r="F79" s="6" t="n">
        <v>0.2207148934270296</v>
      </c>
      <c r="G79" s="6" t="n">
        <v>78</v>
      </c>
      <c r="H79" s="6" t="n">
        <v>138</v>
      </c>
      <c r="I79" s="6" t="inlineStr">
        <is>
          <t>***劳务有限公司</t>
        </is>
      </c>
      <c r="J79" s="6" t="b">
        <v>0</v>
      </c>
      <c r="K79" s="6" t="n">
        <v>100</v>
      </c>
      <c r="L79" s="6" t="n">
        <v>0.1225</v>
      </c>
      <c r="M79" s="6" t="n">
        <v>0.81480900767149</v>
      </c>
      <c r="N79" s="6" t="n">
        <v>0.01081918691528396</v>
      </c>
      <c r="O79" s="6" t="inlineStr"/>
      <c r="P79" s="6" t="n">
        <v>0.18519099232851</v>
      </c>
      <c r="Q79" s="6" t="n">
        <v>18.519099232851</v>
      </c>
      <c r="R79" s="6" t="n">
        <v>12.25</v>
      </c>
      <c r="S79" s="6" t="n">
        <v>2.145887300660738</v>
      </c>
      <c r="T79" s="6" t="n">
        <v>0.6009911283110669</v>
      </c>
      <c r="U79" s="6" t="n">
        <v>0.462977480821275</v>
      </c>
      <c r="V79" s="9">
        <f>K79*(1-M79)*((1-B79)*L79-B79*'模型说明与假设'!$B$7-'模型说明与假设'!$B$8)</f>
        <v/>
      </c>
      <c r="W79" s="6" t="b">
        <v>0</v>
      </c>
    </row>
    <row r="80">
      <c r="A80" s="6" t="inlineStr">
        <is>
          <t>E191</t>
        </is>
      </c>
      <c r="B80" s="6" t="n">
        <v>0.05440168342178302</v>
      </c>
      <c r="C80" s="6" t="inlineStr">
        <is>
          <t>A</t>
        </is>
      </c>
      <c r="D80" s="6" t="n">
        <v>0.5524736511665024</v>
      </c>
      <c r="E80" s="6" t="n">
        <v>0.1528595144794355</v>
      </c>
      <c r="F80" s="6" t="n">
        <v>0.1887058813411064</v>
      </c>
      <c r="G80" s="6" t="n">
        <v>79</v>
      </c>
      <c r="H80" s="6" t="n">
        <v>260</v>
      </c>
      <c r="I80" s="6" t="inlineStr">
        <is>
          <t>***商贸有限责任公司</t>
        </is>
      </c>
      <c r="J80" s="6" t="b">
        <v>0</v>
      </c>
      <c r="K80" s="6" t="n">
        <v>100</v>
      </c>
      <c r="L80" s="6" t="n">
        <v>0.1225</v>
      </c>
      <c r="M80" s="6" t="n">
        <v>0.81480900767149</v>
      </c>
      <c r="N80" s="6" t="n">
        <v>0.01077714974688723</v>
      </c>
      <c r="O80" s="6" t="inlineStr"/>
      <c r="P80" s="6" t="n">
        <v>0.18519099232851</v>
      </c>
      <c r="Q80" s="6" t="n">
        <v>18.519099232851</v>
      </c>
      <c r="R80" s="6" t="n">
        <v>12.25</v>
      </c>
      <c r="S80" s="6" t="n">
        <v>2.145174559743285</v>
      </c>
      <c r="T80" s="6" t="n">
        <v>0.6044821042332869</v>
      </c>
      <c r="U80" s="6" t="n">
        <v>0.462977480821275</v>
      </c>
      <c r="V80" s="9">
        <f>K80*(1-M80)*((1-B80)*L80-B80*'模型说明与假设'!$B$7-'模型说明与假设'!$B$8)</f>
        <v/>
      </c>
      <c r="W80" s="6" t="b">
        <v>0</v>
      </c>
    </row>
    <row r="81">
      <c r="A81" s="6" t="inlineStr">
        <is>
          <t>E161</t>
        </is>
      </c>
      <c r="B81" s="6" t="n">
        <v>0.05494534440644405</v>
      </c>
      <c r="C81" s="6" t="inlineStr">
        <is>
          <t>A</t>
        </is>
      </c>
      <c r="D81" s="6" t="n">
        <v>0.7147235263925089</v>
      </c>
      <c r="E81" s="6" t="n">
        <v>0.09198866557017205</v>
      </c>
      <c r="F81" s="6" t="n">
        <v>0.2304657745276059</v>
      </c>
      <c r="G81" s="6" t="n">
        <v>80</v>
      </c>
      <c r="H81" s="6" t="n">
        <v>91</v>
      </c>
      <c r="I81" s="6" t="inlineStr">
        <is>
          <t>***建筑劳务有限责任公司</t>
        </is>
      </c>
      <c r="J81" s="6" t="b">
        <v>0</v>
      </c>
      <c r="K81" s="6" t="n">
        <v>100</v>
      </c>
      <c r="L81" s="6" t="n">
        <v>0.1225</v>
      </c>
      <c r="M81" s="6" t="n">
        <v>0.81480900767149</v>
      </c>
      <c r="N81" s="6" t="n">
        <v>0.01070440763968156</v>
      </c>
      <c r="O81" s="6" t="inlineStr"/>
      <c r="P81" s="6" t="n">
        <v>0.18519099232851</v>
      </c>
      <c r="Q81" s="6" t="n">
        <v>18.519099232851</v>
      </c>
      <c r="R81" s="6" t="n">
        <v>12.25</v>
      </c>
      <c r="S81" s="6" t="n">
        <v>2.143941216057099</v>
      </c>
      <c r="T81" s="6" t="n">
        <v>0.610522971267667</v>
      </c>
      <c r="U81" s="6" t="n">
        <v>0.462977480821275</v>
      </c>
      <c r="V81" s="9">
        <f>K81*(1-M81)*((1-B81)*L81-B81*'模型说明与假设'!$B$7-'模型说明与假设'!$B$8)</f>
        <v/>
      </c>
      <c r="W81" s="6" t="b">
        <v>0</v>
      </c>
    </row>
    <row r="82">
      <c r="A82" s="6" t="inlineStr">
        <is>
          <t>E148</t>
        </is>
      </c>
      <c r="B82" s="6" t="n">
        <v>0.05600209234194682</v>
      </c>
      <c r="C82" s="6" t="inlineStr">
        <is>
          <t>A</t>
        </is>
      </c>
      <c r="D82" s="6" t="n">
        <v>0.7380191542414986</v>
      </c>
      <c r="E82" s="6" t="n">
        <v>0.07927423829709121</v>
      </c>
      <c r="F82" s="6" t="n">
        <v>0.2233213124103357</v>
      </c>
      <c r="G82" s="6" t="n">
        <v>81</v>
      </c>
      <c r="H82" s="6" t="n">
        <v>54</v>
      </c>
      <c r="I82" s="6" t="inlineStr">
        <is>
          <t>***商贸有限公司</t>
        </is>
      </c>
      <c r="J82" s="6" t="b">
        <v>0</v>
      </c>
      <c r="K82" s="6" t="n">
        <v>100</v>
      </c>
      <c r="L82" s="6" t="n">
        <v>0.1225</v>
      </c>
      <c r="M82" s="6" t="n">
        <v>0.81480900767149</v>
      </c>
      <c r="N82" s="6" t="n">
        <v>0.01056301424603638</v>
      </c>
      <c r="O82" s="6" t="inlineStr"/>
      <c r="P82" s="6" t="n">
        <v>0.18519099232851</v>
      </c>
      <c r="Q82" s="6" t="n">
        <v>18.519099232851</v>
      </c>
      <c r="R82" s="6" t="n">
        <v>12.25</v>
      </c>
      <c r="S82" s="6" t="n">
        <v>2.141543888621592</v>
      </c>
      <c r="T82" s="6" t="n">
        <v>0.6222649831966788</v>
      </c>
      <c r="U82" s="6" t="n">
        <v>0.462977480821275</v>
      </c>
      <c r="V82" s="9">
        <f>K82*(1-M82)*((1-B82)*L82-B82*'模型说明与假设'!$B$7-'模型说明与假设'!$B$8)</f>
        <v/>
      </c>
      <c r="W82" s="6" t="b">
        <v>0</v>
      </c>
    </row>
    <row r="83">
      <c r="A83" s="6" t="inlineStr">
        <is>
          <t>E223</t>
        </is>
      </c>
      <c r="B83" s="6" t="n">
        <v>0.05745115860464314</v>
      </c>
      <c r="C83" s="6" t="inlineStr">
        <is>
          <t>A</t>
        </is>
      </c>
      <c r="D83" s="6" t="n">
        <v>0.5913352462215083</v>
      </c>
      <c r="E83" s="6" t="n">
        <v>0.1386199827873743</v>
      </c>
      <c r="F83" s="6" t="n">
        <v>0.2005822153608675</v>
      </c>
      <c r="G83" s="6" t="n">
        <v>82</v>
      </c>
      <c r="H83" s="6" t="n">
        <v>230</v>
      </c>
      <c r="I83" s="6" t="inlineStr">
        <is>
          <t>***科技有限公司</t>
        </is>
      </c>
      <c r="J83" s="6" t="b">
        <v>0</v>
      </c>
      <c r="K83" s="6" t="n">
        <v>100</v>
      </c>
      <c r="L83" s="6" t="n">
        <v>0.1225</v>
      </c>
      <c r="M83" s="6" t="n">
        <v>0.81480900767149</v>
      </c>
      <c r="N83" s="6" t="n">
        <v>0.01036912846720882</v>
      </c>
      <c r="O83" s="6" t="inlineStr"/>
      <c r="P83" s="6" t="n">
        <v>0.18519099232851</v>
      </c>
      <c r="Q83" s="6" t="n">
        <v>18.519099232851</v>
      </c>
      <c r="R83" s="6" t="n">
        <v>12.25</v>
      </c>
      <c r="S83" s="6" t="n">
        <v>2.138256551887145</v>
      </c>
      <c r="T83" s="6" t="n">
        <v>0.6383662243449887</v>
      </c>
      <c r="U83" s="6" t="n">
        <v>0.462977480821275</v>
      </c>
      <c r="V83" s="9">
        <f>K83*(1-M83)*((1-B83)*L83-B83*'模型说明与假设'!$B$7-'模型说明与假设'!$B$8)</f>
        <v/>
      </c>
      <c r="W83" s="6" t="b">
        <v>0</v>
      </c>
    </row>
    <row r="84">
      <c r="A84" s="6" t="inlineStr">
        <is>
          <t>E319</t>
        </is>
      </c>
      <c r="B84" s="6" t="n">
        <v>0.05829492048612162</v>
      </c>
      <c r="C84" s="6" t="inlineStr">
        <is>
          <t>A</t>
        </is>
      </c>
      <c r="D84" s="6" t="n">
        <v>0.6926825611213984</v>
      </c>
      <c r="E84" s="6" t="n">
        <v>0.09744790483498068</v>
      </c>
      <c r="F84" s="6" t="n">
        <v>0.2196441065737019</v>
      </c>
      <c r="G84" s="6" t="n">
        <v>83</v>
      </c>
      <c r="H84" s="6" t="n">
        <v>125</v>
      </c>
      <c r="I84" s="6" t="inlineStr">
        <is>
          <t xml:space="preserve">个体经营E319 </t>
        </is>
      </c>
      <c r="J84" s="6" t="b">
        <v>0</v>
      </c>
      <c r="K84" s="6" t="n">
        <v>100</v>
      </c>
      <c r="L84" s="6" t="n">
        <v>0.1225</v>
      </c>
      <c r="M84" s="6" t="n">
        <v>0.81480900767149</v>
      </c>
      <c r="N84" s="6" t="n">
        <v>0.01025623271237214</v>
      </c>
      <c r="O84" s="6" t="inlineStr"/>
      <c r="P84" s="6" t="n">
        <v>0.18519099232851</v>
      </c>
      <c r="Q84" s="6" t="n">
        <v>18.519099232851</v>
      </c>
      <c r="R84" s="6" t="n">
        <v>12.25</v>
      </c>
      <c r="S84" s="6" t="n">
        <v>2.136342402410676</v>
      </c>
      <c r="T84" s="6" t="n">
        <v>0.6477416503521868</v>
      </c>
      <c r="U84" s="6" t="n">
        <v>0.462977480821275</v>
      </c>
      <c r="V84" s="9">
        <f>K84*(1-M84)*((1-B84)*L84-B84*'模型说明与假设'!$B$7-'模型说明与假设'!$B$8)</f>
        <v/>
      </c>
      <c r="W84" s="6" t="b">
        <v>0</v>
      </c>
    </row>
    <row r="85">
      <c r="A85" s="6" t="inlineStr">
        <is>
          <t>E156</t>
        </is>
      </c>
      <c r="B85" s="6" t="n">
        <v>0.05841739293656563</v>
      </c>
      <c r="C85" s="6" t="inlineStr">
        <is>
          <t>A</t>
        </is>
      </c>
      <c r="D85" s="6" t="n">
        <v>0.6879524022275515</v>
      </c>
      <c r="E85" s="6" t="n">
        <v>0.1008352753262375</v>
      </c>
      <c r="F85" s="6" t="n">
        <v>0.2223054123318314</v>
      </c>
      <c r="G85" s="6" t="n">
        <v>84</v>
      </c>
      <c r="H85" s="6" t="n">
        <v>134</v>
      </c>
      <c r="I85" s="6" t="inlineStr">
        <is>
          <t xml:space="preserve">个体经营E156 </t>
        </is>
      </c>
      <c r="J85" s="6" t="b">
        <v>0</v>
      </c>
      <c r="K85" s="6" t="n">
        <v>100</v>
      </c>
      <c r="L85" s="6" t="n">
        <v>0.1225</v>
      </c>
      <c r="M85" s="6" t="n">
        <v>0.81480900767149</v>
      </c>
      <c r="N85" s="6" t="n">
        <v>0.01023984583825151</v>
      </c>
      <c r="O85" s="6" t="inlineStr"/>
      <c r="P85" s="6" t="n">
        <v>0.18519099232851</v>
      </c>
      <c r="Q85" s="6" t="n">
        <v>18.519099232851</v>
      </c>
      <c r="R85" s="6" t="n">
        <v>12.25</v>
      </c>
      <c r="S85" s="6" t="n">
        <v>2.136064562676451</v>
      </c>
      <c r="T85" s="6" t="n">
        <v>0.6491024980300247</v>
      </c>
      <c r="U85" s="6" t="n">
        <v>0.462977480821275</v>
      </c>
      <c r="V85" s="9">
        <f>K85*(1-M85)*((1-B85)*L85-B85*'模型说明与假设'!$B$7-'模型说明与假设'!$B$8)</f>
        <v/>
      </c>
      <c r="W85" s="6" t="b">
        <v>0</v>
      </c>
    </row>
    <row r="86">
      <c r="A86" s="6" t="inlineStr">
        <is>
          <t>E311</t>
        </is>
      </c>
      <c r="B86" s="6" t="n">
        <v>0.05845153450194475</v>
      </c>
      <c r="C86" s="6" t="inlineStr">
        <is>
          <t>A</t>
        </is>
      </c>
      <c r="D86" s="6" t="n">
        <v>0.7360309034727233</v>
      </c>
      <c r="E86" s="6" t="n">
        <v>0.08176074522474136</v>
      </c>
      <c r="F86" s="6" t="n">
        <v>0.2279753045643021</v>
      </c>
      <c r="G86" s="6" t="n">
        <v>85</v>
      </c>
      <c r="H86" s="6" t="n">
        <v>58</v>
      </c>
      <c r="I86" s="6" t="inlineStr">
        <is>
          <t>***律师事务所</t>
        </is>
      </c>
      <c r="J86" s="6" t="b">
        <v>0</v>
      </c>
      <c r="K86" s="6" t="n">
        <v>100</v>
      </c>
      <c r="L86" s="6" t="n">
        <v>0.1225</v>
      </c>
      <c r="M86" s="6" t="n">
        <v>0.81480900767149</v>
      </c>
      <c r="N86" s="6" t="n">
        <v>0.01023527768000759</v>
      </c>
      <c r="O86" s="6" t="inlineStr"/>
      <c r="P86" s="6" t="n">
        <v>0.18519099232851</v>
      </c>
      <c r="Q86" s="6" t="n">
        <v>18.519099232851</v>
      </c>
      <c r="R86" s="6" t="n">
        <v>12.25</v>
      </c>
      <c r="S86" s="6" t="n">
        <v>2.135987109474391</v>
      </c>
      <c r="T86" s="6" t="n">
        <v>0.6494818606523571</v>
      </c>
      <c r="U86" s="6" t="n">
        <v>0.462977480821275</v>
      </c>
      <c r="V86" s="9">
        <f>K86*(1-M86)*((1-B86)*L86-B86*'模型说明与假设'!$B$7-'模型说明与假设'!$B$8)</f>
        <v/>
      </c>
      <c r="W86" s="6" t="b">
        <v>0</v>
      </c>
    </row>
    <row r="87">
      <c r="A87" s="6" t="inlineStr">
        <is>
          <t>E243</t>
        </is>
      </c>
      <c r="B87" s="6" t="n">
        <v>0.05891627506039259</v>
      </c>
      <c r="C87" s="6" t="inlineStr">
        <is>
          <t>A</t>
        </is>
      </c>
      <c r="D87" s="6" t="n">
        <v>0.7179298474646466</v>
      </c>
      <c r="E87" s="6" t="n">
        <v>0.08938649656346527</v>
      </c>
      <c r="F87" s="6" t="n">
        <v>0.227508062325611</v>
      </c>
      <c r="G87" s="6" t="n">
        <v>86</v>
      </c>
      <c r="H87" s="6" t="n">
        <v>83</v>
      </c>
      <c r="I87" s="6" t="inlineStr">
        <is>
          <t>***科技有限公司</t>
        </is>
      </c>
      <c r="J87" s="6" t="b">
        <v>0</v>
      </c>
      <c r="K87" s="6" t="n">
        <v>100</v>
      </c>
      <c r="L87" s="6" t="n">
        <v>0.1225</v>
      </c>
      <c r="M87" s="6" t="n">
        <v>0.81480900767149</v>
      </c>
      <c r="N87" s="6" t="n">
        <v>0.01017309516465474</v>
      </c>
      <c r="O87" s="6" t="inlineStr"/>
      <c r="P87" s="6" t="n">
        <v>0.18519099232851</v>
      </c>
      <c r="Q87" s="6" t="n">
        <v>18.519099232851</v>
      </c>
      <c r="R87" s="6" t="n">
        <v>12.25</v>
      </c>
      <c r="S87" s="6" t="n">
        <v>2.134932803850761</v>
      </c>
      <c r="T87" s="6" t="n">
        <v>0.6546458065640129</v>
      </c>
      <c r="U87" s="6" t="n">
        <v>0.462977480821275</v>
      </c>
      <c r="V87" s="9">
        <f>K87*(1-M87)*((1-B87)*L87-B87*'模型说明与假设'!$B$7-'模型说明与假设'!$B$8)</f>
        <v/>
      </c>
      <c r="W87" s="6" t="b">
        <v>0</v>
      </c>
    </row>
    <row r="88">
      <c r="A88" s="6" t="inlineStr">
        <is>
          <t>E128</t>
        </is>
      </c>
      <c r="B88" s="6" t="n">
        <v>0.05901277334789417</v>
      </c>
      <c r="C88" s="6" t="inlineStr">
        <is>
          <t>A</t>
        </is>
      </c>
      <c r="D88" s="6" t="n">
        <v>0.7287831794983124</v>
      </c>
      <c r="E88" s="6" t="n">
        <v>0.08757761598635085</v>
      </c>
      <c r="F88" s="6" t="n">
        <v>0.2353286691929856</v>
      </c>
      <c r="G88" s="6" t="n">
        <v>87</v>
      </c>
      <c r="H88" s="6" t="n">
        <v>66</v>
      </c>
      <c r="I88" s="6" t="inlineStr">
        <is>
          <t xml:space="preserve">个体经营E128 </t>
        </is>
      </c>
      <c r="J88" s="6" t="b">
        <v>0</v>
      </c>
      <c r="K88" s="6" t="n">
        <v>100</v>
      </c>
      <c r="L88" s="6" t="n">
        <v>0.1225</v>
      </c>
      <c r="M88" s="6" t="n">
        <v>0.81480900767149</v>
      </c>
      <c r="N88" s="6" t="n">
        <v>0.01016018364631398</v>
      </c>
      <c r="O88" s="6" t="inlineStr"/>
      <c r="P88" s="6" t="n">
        <v>0.18519099232851</v>
      </c>
      <c r="Q88" s="6" t="n">
        <v>18.519099232851</v>
      </c>
      <c r="R88" s="6" t="n">
        <v>12.25</v>
      </c>
      <c r="S88" s="6" t="n">
        <v>2.134713888833911</v>
      </c>
      <c r="T88" s="6" t="n">
        <v>0.6557180433812381</v>
      </c>
      <c r="U88" s="6" t="n">
        <v>0.462977480821275</v>
      </c>
      <c r="V88" s="9">
        <f>K88*(1-M88)*((1-B88)*L88-B88*'模型说明与假设'!$B$7-'模型说明与假设'!$B$8)</f>
        <v/>
      </c>
      <c r="W88" s="6" t="b">
        <v>0</v>
      </c>
    </row>
    <row r="89">
      <c r="A89" s="6" t="inlineStr">
        <is>
          <t>E282</t>
        </is>
      </c>
      <c r="B89" s="6" t="n">
        <v>0.05922469499570951</v>
      </c>
      <c r="C89" s="6" t="inlineStr">
        <is>
          <t>A</t>
        </is>
      </c>
      <c r="D89" s="6" t="n">
        <v>0.7077801851988317</v>
      </c>
      <c r="E89" s="6" t="n">
        <v>0.09105448715707393</v>
      </c>
      <c r="F89" s="6" t="n">
        <v>0.2205413819287683</v>
      </c>
      <c r="G89" s="6" t="n">
        <v>88</v>
      </c>
      <c r="H89" s="6" t="n">
        <v>103</v>
      </c>
      <c r="I89" s="6" t="inlineStr">
        <is>
          <t>***影城有限公司***分公司</t>
        </is>
      </c>
      <c r="J89" s="6" t="b">
        <v>0</v>
      </c>
      <c r="K89" s="6" t="n">
        <v>100</v>
      </c>
      <c r="L89" s="6" t="n">
        <v>0.1225</v>
      </c>
      <c r="M89" s="6" t="n">
        <v>0.81480900767149</v>
      </c>
      <c r="N89" s="6" t="n">
        <v>0.01013182842557988</v>
      </c>
      <c r="O89" s="6" t="inlineStr"/>
      <c r="P89" s="6" t="n">
        <v>0.18519099232851</v>
      </c>
      <c r="Q89" s="6" t="n">
        <v>18.519099232851</v>
      </c>
      <c r="R89" s="6" t="n">
        <v>12.25</v>
      </c>
      <c r="S89" s="6" t="n">
        <v>2.13423312557579</v>
      </c>
      <c r="T89" s="6" t="n">
        <v>0.658072802196527</v>
      </c>
      <c r="U89" s="6" t="n">
        <v>0.462977480821275</v>
      </c>
      <c r="V89" s="9">
        <f>K89*(1-M89)*((1-B89)*L89-B89*'模型说明与假设'!$B$7-'模型说明与假设'!$B$8)</f>
        <v/>
      </c>
      <c r="W89" s="6" t="b">
        <v>0</v>
      </c>
    </row>
    <row r="90">
      <c r="A90" s="6" t="inlineStr">
        <is>
          <t>E303</t>
        </is>
      </c>
      <c r="B90" s="6" t="n">
        <v>0.05964559097305221</v>
      </c>
      <c r="C90" s="6" t="inlineStr">
        <is>
          <t>A</t>
        </is>
      </c>
      <c r="D90" s="6" t="n">
        <v>0.7006707164134015</v>
      </c>
      <c r="E90" s="6" t="n">
        <v>0.09471250047907143</v>
      </c>
      <c r="F90" s="6" t="n">
        <v>0.2217032519131274</v>
      </c>
      <c r="G90" s="6" t="n">
        <v>89</v>
      </c>
      <c r="H90" s="6" t="n">
        <v>111</v>
      </c>
      <c r="I90" s="6" t="inlineStr">
        <is>
          <t>***图书发行有限公司</t>
        </is>
      </c>
      <c r="J90" s="6" t="b">
        <v>0</v>
      </c>
      <c r="K90" s="6" t="n">
        <v>100</v>
      </c>
      <c r="L90" s="6" t="n">
        <v>0.1225</v>
      </c>
      <c r="M90" s="6" t="n">
        <v>0.81480900767149</v>
      </c>
      <c r="N90" s="6" t="n">
        <v>0.01007551233674855</v>
      </c>
      <c r="O90" s="6" t="inlineStr"/>
      <c r="P90" s="6" t="n">
        <v>0.18519099232851</v>
      </c>
      <c r="Q90" s="6" t="n">
        <v>18.519099232851</v>
      </c>
      <c r="R90" s="6" t="n">
        <v>12.25</v>
      </c>
      <c r="S90" s="6" t="n">
        <v>2.133278285315328</v>
      </c>
      <c r="T90" s="6" t="n">
        <v>0.6627495708191973</v>
      </c>
      <c r="U90" s="6" t="n">
        <v>0.462977480821275</v>
      </c>
      <c r="V90" s="9">
        <f>K90*(1-M90)*((1-B90)*L90-B90*'模型说明与假设'!$B$7-'模型说明与假设'!$B$8)</f>
        <v/>
      </c>
      <c r="W90" s="6" t="b">
        <v>0</v>
      </c>
    </row>
    <row r="91">
      <c r="A91" s="6" t="inlineStr">
        <is>
          <t>E337</t>
        </is>
      </c>
      <c r="B91" s="6" t="n">
        <v>0.06016493852750645</v>
      </c>
      <c r="C91" s="6" t="inlineStr">
        <is>
          <t>A</t>
        </is>
      </c>
      <c r="D91" s="6" t="n">
        <v>0.6771270556947574</v>
      </c>
      <c r="E91" s="6" t="n">
        <v>0.1051576898590214</v>
      </c>
      <c r="F91" s="6" t="n">
        <v>0.2205360287190388</v>
      </c>
      <c r="G91" s="6" t="n">
        <v>90</v>
      </c>
      <c r="H91" s="6" t="n">
        <v>149</v>
      </c>
      <c r="I91" s="6" t="inlineStr">
        <is>
          <t xml:space="preserve">个体经营E337 </t>
        </is>
      </c>
      <c r="J91" s="6" t="b">
        <v>0</v>
      </c>
      <c r="K91" s="6" t="n">
        <v>100</v>
      </c>
      <c r="L91" s="6" t="n">
        <v>0.1225</v>
      </c>
      <c r="M91" s="6" t="n">
        <v>0.81480900767149</v>
      </c>
      <c r="N91" s="6" t="n">
        <v>0.01000602337846573</v>
      </c>
      <c r="O91" s="6" t="inlineStr"/>
      <c r="P91" s="6" t="n">
        <v>0.18519099232851</v>
      </c>
      <c r="Q91" s="6" t="n">
        <v>18.519099232851</v>
      </c>
      <c r="R91" s="6" t="n">
        <v>12.25</v>
      </c>
      <c r="S91" s="6" t="n">
        <v>2.132100098825411</v>
      </c>
      <c r="T91" s="6" t="n">
        <v>0.6685202801575633</v>
      </c>
      <c r="U91" s="6" t="n">
        <v>0.462977480821275</v>
      </c>
      <c r="V91" s="9">
        <f>K91*(1-M91)*((1-B91)*L91-B91*'模型说明与假设'!$B$7-'模型说明与假设'!$B$8)</f>
        <v/>
      </c>
      <c r="W91" s="6" t="b">
        <v>0</v>
      </c>
    </row>
    <row r="92">
      <c r="A92" s="6" t="inlineStr">
        <is>
          <t>E162</t>
        </is>
      </c>
      <c r="B92" s="6" t="n">
        <v>0.06229757610635053</v>
      </c>
      <c r="C92" s="6" t="inlineStr">
        <is>
          <t>A</t>
        </is>
      </c>
      <c r="D92" s="6" t="n">
        <v>0.7173986531058466</v>
      </c>
      <c r="E92" s="6" t="n">
        <v>0.08445963245302493</v>
      </c>
      <c r="F92" s="6" t="n">
        <v>0.2144053000083861</v>
      </c>
      <c r="G92" s="6" t="n">
        <v>91</v>
      </c>
      <c r="H92" s="6" t="n">
        <v>87</v>
      </c>
      <c r="I92" s="6" t="inlineStr">
        <is>
          <t>***网络信息安全有限公司</t>
        </is>
      </c>
      <c r="J92" s="6" t="b">
        <v>0</v>
      </c>
      <c r="K92" s="6" t="n">
        <v>100</v>
      </c>
      <c r="L92" s="6" t="n">
        <v>0.1225</v>
      </c>
      <c r="M92" s="6" t="n">
        <v>0.81480900767149</v>
      </c>
      <c r="N92" s="6" t="n">
        <v>0.009720675421249667</v>
      </c>
      <c r="O92" s="6" t="inlineStr"/>
      <c r="P92" s="6" t="n">
        <v>0.18519099232851</v>
      </c>
      <c r="Q92" s="6" t="n">
        <v>18.519099232851</v>
      </c>
      <c r="R92" s="6" t="n">
        <v>12.25</v>
      </c>
      <c r="S92" s="6" t="n">
        <v>2.127262019273997</v>
      </c>
      <c r="T92" s="6" t="n">
        <v>0.6922169963277556</v>
      </c>
      <c r="U92" s="6" t="n">
        <v>0.462977480821275</v>
      </c>
      <c r="V92" s="9">
        <f>K92*(1-M92)*((1-B92)*L92-B92*'模型说明与假设'!$B$7-'模型说明与假设'!$B$8)</f>
        <v/>
      </c>
      <c r="W92" s="6" t="b">
        <v>0</v>
      </c>
    </row>
    <row r="93">
      <c r="A93" s="6" t="inlineStr">
        <is>
          <t>E186</t>
        </is>
      </c>
      <c r="B93" s="6" t="n">
        <v>0.06234306837328336</v>
      </c>
      <c r="C93" s="6" t="inlineStr">
        <is>
          <t>A</t>
        </is>
      </c>
      <c r="D93" s="6" t="n">
        <v>0.7125172825653469</v>
      </c>
      <c r="E93" s="6" t="n">
        <v>0.09195985040992104</v>
      </c>
      <c r="F93" s="6" t="n">
        <v>0.2279197278496804</v>
      </c>
      <c r="G93" s="6" t="n">
        <v>92</v>
      </c>
      <c r="H93" s="6" t="n">
        <v>96</v>
      </c>
      <c r="I93" s="6" t="inlineStr">
        <is>
          <t>***建筑劳务有限公司</t>
        </is>
      </c>
      <c r="J93" s="6" t="b">
        <v>0</v>
      </c>
      <c r="K93" s="6" t="n">
        <v>100</v>
      </c>
      <c r="L93" s="6" t="n">
        <v>0.1225</v>
      </c>
      <c r="M93" s="6" t="n">
        <v>0.81480900767149</v>
      </c>
      <c r="N93" s="6" t="n">
        <v>0.009714588533553796</v>
      </c>
      <c r="O93" s="6" t="inlineStr"/>
      <c r="P93" s="6" t="n">
        <v>0.18519099232851</v>
      </c>
      <c r="Q93" s="6" t="n">
        <v>18.519099232851</v>
      </c>
      <c r="R93" s="6" t="n">
        <v>12.25</v>
      </c>
      <c r="S93" s="6" t="n">
        <v>2.127158815987804</v>
      </c>
      <c r="T93" s="6" t="n">
        <v>0.6927224818111496</v>
      </c>
      <c r="U93" s="6" t="n">
        <v>0.462977480821275</v>
      </c>
      <c r="V93" s="9">
        <f>K93*(1-M93)*((1-B93)*L93-B93*'模型说明与假设'!$B$7-'模型说明与假设'!$B$8)</f>
        <v/>
      </c>
      <c r="W93" s="6" t="b">
        <v>0</v>
      </c>
    </row>
    <row r="94">
      <c r="A94" s="6" t="inlineStr">
        <is>
          <t>E261</t>
        </is>
      </c>
      <c r="B94" s="6" t="n">
        <v>0.0626494562819971</v>
      </c>
      <c r="C94" s="6" t="inlineStr">
        <is>
          <t>A</t>
        </is>
      </c>
      <c r="D94" s="6" t="n">
        <v>0.7501136912505376</v>
      </c>
      <c r="E94" s="6" t="n">
        <v>0.07524613014637724</v>
      </c>
      <c r="F94" s="6" t="n">
        <v>0.2258753299405758</v>
      </c>
      <c r="G94" s="6" t="n">
        <v>93</v>
      </c>
      <c r="H94" s="6" t="n">
        <v>34</v>
      </c>
      <c r="I94" s="6" t="inlineStr">
        <is>
          <t>***医疗器械有限公司</t>
        </is>
      </c>
      <c r="J94" s="6" t="b">
        <v>0</v>
      </c>
      <c r="K94" s="6" t="n">
        <v>100</v>
      </c>
      <c r="L94" s="6" t="n">
        <v>0.1225</v>
      </c>
      <c r="M94" s="6" t="n">
        <v>0.81480900767149</v>
      </c>
      <c r="N94" s="6" t="n">
        <v>0.009673593680638118</v>
      </c>
      <c r="O94" s="6" t="inlineStr"/>
      <c r="P94" s="6" t="n">
        <v>0.18519099232851</v>
      </c>
      <c r="Q94" s="6" t="n">
        <v>18.519099232851</v>
      </c>
      <c r="R94" s="6" t="n">
        <v>12.25</v>
      </c>
      <c r="S94" s="6" t="n">
        <v>2.126463747547365</v>
      </c>
      <c r="T94" s="6" t="n">
        <v>0.6961268986622787</v>
      </c>
      <c r="U94" s="6" t="n">
        <v>0.462977480821275</v>
      </c>
      <c r="V94" s="9">
        <f>K94*(1-M94)*((1-B94)*L94-B94*'模型说明与假设'!$B$7-'模型说明与假设'!$B$8)</f>
        <v/>
      </c>
      <c r="W94" s="6" t="b">
        <v>0</v>
      </c>
    </row>
    <row r="95">
      <c r="A95" s="6" t="inlineStr">
        <is>
          <t>E214</t>
        </is>
      </c>
      <c r="B95" s="6" t="n">
        <v>0.06275395466605262</v>
      </c>
      <c r="C95" s="6" t="inlineStr">
        <is>
          <t>A</t>
        </is>
      </c>
      <c r="D95" s="6" t="n">
        <v>0.7284573384227904</v>
      </c>
      <c r="E95" s="6" t="n">
        <v>0.08262600513676857</v>
      </c>
      <c r="F95" s="6" t="n">
        <v>0.2216576925218217</v>
      </c>
      <c r="G95" s="6" t="n">
        <v>94</v>
      </c>
      <c r="H95" s="6" t="n">
        <v>68</v>
      </c>
      <c r="I95" s="6" t="inlineStr">
        <is>
          <t>***建筑工程有限公司</t>
        </is>
      </c>
      <c r="J95" s="6" t="b">
        <v>0</v>
      </c>
      <c r="K95" s="6" t="n">
        <v>100</v>
      </c>
      <c r="L95" s="6" t="n">
        <v>0.1225</v>
      </c>
      <c r="M95" s="6" t="n">
        <v>0.81480900767149</v>
      </c>
      <c r="N95" s="6" t="n">
        <v>0.009659611745442741</v>
      </c>
      <c r="O95" s="6" t="inlineStr"/>
      <c r="P95" s="6" t="n">
        <v>0.18519099232851</v>
      </c>
      <c r="Q95" s="6" t="n">
        <v>18.519099232851</v>
      </c>
      <c r="R95" s="6" t="n">
        <v>12.25</v>
      </c>
      <c r="S95" s="6" t="n">
        <v>2.126226683594226</v>
      </c>
      <c r="T95" s="6" t="n">
        <v>0.6972880282286767</v>
      </c>
      <c r="U95" s="6" t="n">
        <v>0.462977480821275</v>
      </c>
      <c r="V95" s="9">
        <f>K95*(1-M95)*((1-B95)*L95-B95*'模型说明与假设'!$B$7-'模型说明与假设'!$B$8)</f>
        <v/>
      </c>
      <c r="W95" s="6" t="b">
        <v>0</v>
      </c>
    </row>
    <row r="96">
      <c r="A96" s="6" t="inlineStr">
        <is>
          <t>E294</t>
        </is>
      </c>
      <c r="B96" s="6" t="n">
        <v>0.06419764808635216</v>
      </c>
      <c r="C96" s="6" t="inlineStr">
        <is>
          <t>A</t>
        </is>
      </c>
      <c r="D96" s="6" t="n">
        <v>0.712983072900771</v>
      </c>
      <c r="E96" s="6" t="n">
        <v>0.09066071050058266</v>
      </c>
      <c r="F96" s="6" t="n">
        <v>0.2252116368792601</v>
      </c>
      <c r="G96" s="6" t="n">
        <v>95</v>
      </c>
      <c r="H96" s="6" t="n">
        <v>95</v>
      </c>
      <c r="I96" s="6" t="inlineStr">
        <is>
          <t xml:space="preserve">个体经营E294 </t>
        </is>
      </c>
      <c r="J96" s="6" t="b">
        <v>0</v>
      </c>
      <c r="K96" s="6" t="n">
        <v>100</v>
      </c>
      <c r="L96" s="6" t="n">
        <v>0.1225</v>
      </c>
      <c r="M96" s="6" t="n">
        <v>0.81480900767149</v>
      </c>
      <c r="N96" s="6" t="n">
        <v>0.009466444855571073</v>
      </c>
      <c r="O96" s="6" t="inlineStr"/>
      <c r="P96" s="6" t="n">
        <v>0.18519099232851</v>
      </c>
      <c r="Q96" s="6" t="n">
        <v>18.519099232851</v>
      </c>
      <c r="R96" s="6" t="n">
        <v>12.25</v>
      </c>
      <c r="S96" s="6" t="n">
        <v>2.122951535634464</v>
      </c>
      <c r="T96" s="6" t="n">
        <v>0.7133295692560816</v>
      </c>
      <c r="U96" s="6" t="n">
        <v>0.462977480821275</v>
      </c>
      <c r="V96" s="9">
        <f>K96*(1-M96)*((1-B96)*L96-B96*'模型说明与假设'!$B$7-'模型说明与假设'!$B$8)</f>
        <v/>
      </c>
      <c r="W96" s="6" t="b">
        <v>0</v>
      </c>
    </row>
    <row r="97">
      <c r="A97" s="6" t="inlineStr">
        <is>
          <t>E280</t>
        </is>
      </c>
      <c r="B97" s="6" t="n">
        <v>0.06428560242731637</v>
      </c>
      <c r="C97" s="6" t="inlineStr">
        <is>
          <t>A</t>
        </is>
      </c>
      <c r="D97" s="6" t="n">
        <v>0.7176672024052323</v>
      </c>
      <c r="E97" s="6" t="n">
        <v>0.08676149412665901</v>
      </c>
      <c r="F97" s="6" t="n">
        <v>0.2205407210810399</v>
      </c>
      <c r="G97" s="6" t="n">
        <v>96</v>
      </c>
      <c r="H97" s="6" t="n">
        <v>85</v>
      </c>
      <c r="I97" s="6" t="inlineStr">
        <is>
          <t xml:space="preserve">个体经营E280 </t>
        </is>
      </c>
      <c r="J97" s="6" t="b">
        <v>0</v>
      </c>
      <c r="K97" s="6" t="n">
        <v>100</v>
      </c>
      <c r="L97" s="6" t="n">
        <v>0.1225</v>
      </c>
      <c r="M97" s="6" t="n">
        <v>0.81480900767149</v>
      </c>
      <c r="N97" s="6" t="n">
        <v>0.009454676521480279</v>
      </c>
      <c r="O97" s="6" t="inlineStr"/>
      <c r="P97" s="6" t="n">
        <v>0.18519099232851</v>
      </c>
      <c r="Q97" s="6" t="n">
        <v>18.519099232851</v>
      </c>
      <c r="R97" s="6" t="n">
        <v>12.25</v>
      </c>
      <c r="S97" s="6" t="n">
        <v>2.12275200332635</v>
      </c>
      <c r="T97" s="6" t="n">
        <v>0.7143068703570473</v>
      </c>
      <c r="U97" s="6" t="n">
        <v>0.462977480821275</v>
      </c>
      <c r="V97" s="9">
        <f>K97*(1-M97)*((1-B97)*L97-B97*'模型说明与假设'!$B$7-'模型说明与假设'!$B$8)</f>
        <v/>
      </c>
      <c r="W97" s="6" t="b">
        <v>0</v>
      </c>
    </row>
    <row r="98">
      <c r="A98" s="6" t="inlineStr">
        <is>
          <t>E227</t>
        </is>
      </c>
      <c r="B98" s="6" t="n">
        <v>0.06473128235250024</v>
      </c>
      <c r="C98" s="6" t="inlineStr">
        <is>
          <t>A</t>
        </is>
      </c>
      <c r="D98" s="6" t="n">
        <v>0.7259524106018431</v>
      </c>
      <c r="E98" s="6" t="n">
        <v>0.08278254283160419</v>
      </c>
      <c r="F98" s="6" t="n">
        <v>0.2192910605648171</v>
      </c>
      <c r="G98" s="6" t="n">
        <v>97</v>
      </c>
      <c r="H98" s="6" t="n">
        <v>70</v>
      </c>
      <c r="I98" s="6" t="inlineStr">
        <is>
          <t>***安全技术有限公司</t>
        </is>
      </c>
      <c r="J98" s="6" t="b">
        <v>0</v>
      </c>
      <c r="K98" s="6" t="n">
        <v>100</v>
      </c>
      <c r="L98" s="6" t="n">
        <v>0.1225</v>
      </c>
      <c r="M98" s="6" t="n">
        <v>0.81480900767149</v>
      </c>
      <c r="N98" s="6" t="n">
        <v>0.009395044328235163</v>
      </c>
      <c r="O98" s="6" t="inlineStr"/>
      <c r="P98" s="6" t="n">
        <v>0.18519099232851</v>
      </c>
      <c r="Q98" s="6" t="n">
        <v>18.519099232851</v>
      </c>
      <c r="R98" s="6" t="n">
        <v>12.25</v>
      </c>
      <c r="S98" s="6" t="n">
        <v>2.12174093845818</v>
      </c>
      <c r="T98" s="6" t="n">
        <v>0.7192590248133891</v>
      </c>
      <c r="U98" s="6" t="n">
        <v>0.462977480821275</v>
      </c>
      <c r="V98" s="9">
        <f>K98*(1-M98)*((1-B98)*L98-B98*'模型说明与假设'!$B$7-'模型说明与假设'!$B$8)</f>
        <v/>
      </c>
      <c r="W98" s="6" t="b">
        <v>0</v>
      </c>
    </row>
    <row r="99">
      <c r="A99" s="6" t="inlineStr">
        <is>
          <t>E254</t>
        </is>
      </c>
      <c r="B99" s="6" t="n">
        <v>0.06498419368311333</v>
      </c>
      <c r="C99" s="6" t="inlineStr">
        <is>
          <t>A</t>
        </is>
      </c>
      <c r="D99" s="6" t="n">
        <v>0.684405275443544</v>
      </c>
      <c r="E99" s="6" t="n">
        <v>0.1014645092814604</v>
      </c>
      <c r="F99" s="6" t="n">
        <v>0.2200380425246921</v>
      </c>
      <c r="G99" s="6" t="n">
        <v>98</v>
      </c>
      <c r="H99" s="6" t="n">
        <v>141</v>
      </c>
      <c r="I99" s="6" t="inlineStr">
        <is>
          <t>***设备安装工程有限公司</t>
        </is>
      </c>
      <c r="J99" s="6" t="b">
        <v>0</v>
      </c>
      <c r="K99" s="6" t="n">
        <v>100</v>
      </c>
      <c r="L99" s="6" t="n">
        <v>0.1225</v>
      </c>
      <c r="M99" s="6" t="n">
        <v>0.81480900767149</v>
      </c>
      <c r="N99" s="6" t="n">
        <v>0.009361204667777543</v>
      </c>
      <c r="O99" s="6" t="inlineStr"/>
      <c r="P99" s="6" t="n">
        <v>0.18519099232851</v>
      </c>
      <c r="Q99" s="6" t="n">
        <v>18.519099232851</v>
      </c>
      <c r="R99" s="6" t="n">
        <v>12.25</v>
      </c>
      <c r="S99" s="6" t="n">
        <v>2.12116718642966</v>
      </c>
      <c r="T99" s="6" t="n">
        <v>0.7220692388306308</v>
      </c>
      <c r="U99" s="6" t="n">
        <v>0.462977480821275</v>
      </c>
      <c r="V99" s="9">
        <f>K99*(1-M99)*((1-B99)*L99-B99*'模型说明与假设'!$B$7-'模型说明与假设'!$B$8)</f>
        <v/>
      </c>
      <c r="W99" s="6" t="b">
        <v>0</v>
      </c>
    </row>
    <row r="100">
      <c r="A100" s="6" t="inlineStr">
        <is>
          <t>E277</t>
        </is>
      </c>
      <c r="B100" s="6" t="n">
        <v>0.06512788130018408</v>
      </c>
      <c r="C100" s="6" t="inlineStr">
        <is>
          <t>A</t>
        </is>
      </c>
      <c r="D100" s="6" t="n">
        <v>0.6964810215736015</v>
      </c>
      <c r="E100" s="6" t="n">
        <v>0.0963325987966865</v>
      </c>
      <c r="F100" s="6" t="n">
        <v>0.2210531518279537</v>
      </c>
      <c r="G100" s="6" t="n">
        <v>99</v>
      </c>
      <c r="H100" s="6" t="n">
        <v>119</v>
      </c>
      <c r="I100" s="6" t="inlineStr">
        <is>
          <t>***消防设备制造有限公司</t>
        </is>
      </c>
      <c r="J100" s="6" t="b">
        <v>0</v>
      </c>
      <c r="K100" s="6" t="n">
        <v>100</v>
      </c>
      <c r="L100" s="6" t="n">
        <v>0.1225</v>
      </c>
      <c r="M100" s="6" t="n">
        <v>0.81480900767149</v>
      </c>
      <c r="N100" s="6" t="n">
        <v>0.009341979193925298</v>
      </c>
      <c r="O100" s="6" t="inlineStr"/>
      <c r="P100" s="6" t="n">
        <v>0.18519099232851</v>
      </c>
      <c r="Q100" s="6" t="n">
        <v>18.519099232851</v>
      </c>
      <c r="R100" s="6" t="n">
        <v>12.25</v>
      </c>
      <c r="S100" s="6" t="n">
        <v>2.120841218187874</v>
      </c>
      <c r="T100" s="6" t="n">
        <v>0.7236658179740699</v>
      </c>
      <c r="U100" s="6" t="n">
        <v>0.462977480821275</v>
      </c>
      <c r="V100" s="9">
        <f>K100*(1-M100)*((1-B100)*L100-B100*'模型说明与假设'!$B$7-'模型说明与假设'!$B$8)</f>
        <v/>
      </c>
      <c r="W100" s="6" t="b">
        <v>0</v>
      </c>
    </row>
    <row r="101">
      <c r="A101" s="6" t="inlineStr">
        <is>
          <t>E149</t>
        </is>
      </c>
      <c r="B101" s="6" t="n">
        <v>0.06518580868969882</v>
      </c>
      <c r="C101" s="6" t="inlineStr">
        <is>
          <t>A</t>
        </is>
      </c>
      <c r="D101" s="6" t="n">
        <v>0.7197965511349722</v>
      </c>
      <c r="E101" s="6" t="n">
        <v>0.08932789239128239</v>
      </c>
      <c r="F101" s="6" t="n">
        <v>0.2294686561633753</v>
      </c>
      <c r="G101" s="6" t="n">
        <v>100</v>
      </c>
      <c r="H101" s="6" t="n">
        <v>82</v>
      </c>
      <c r="I101" s="6" t="inlineStr">
        <is>
          <t>***建筑劳务有限公司</t>
        </is>
      </c>
      <c r="J101" s="6" t="b">
        <v>0</v>
      </c>
      <c r="K101" s="6" t="n">
        <v>100</v>
      </c>
      <c r="L101" s="6" t="n">
        <v>0.1225</v>
      </c>
      <c r="M101" s="6" t="n">
        <v>0.81480900767149</v>
      </c>
      <c r="N101" s="6" t="n">
        <v>0.009334228480710423</v>
      </c>
      <c r="O101" s="6" t="inlineStr"/>
      <c r="P101" s="6" t="n">
        <v>0.18519099232851</v>
      </c>
      <c r="Q101" s="6" t="n">
        <v>18.519099232851</v>
      </c>
      <c r="R101" s="6" t="n">
        <v>12.25</v>
      </c>
      <c r="S101" s="6" t="n">
        <v>2.120709804711221</v>
      </c>
      <c r="T101" s="6" t="n">
        <v>0.7243094758189039</v>
      </c>
      <c r="U101" s="6" t="n">
        <v>0.462977480821275</v>
      </c>
      <c r="V101" s="9">
        <f>K101*(1-M101)*((1-B101)*L101-B101*'模型说明与假设'!$B$7-'模型说明与假设'!$B$8)</f>
        <v/>
      </c>
      <c r="W101" s="6" t="b">
        <v>0</v>
      </c>
    </row>
    <row r="102">
      <c r="A102" s="6" t="inlineStr">
        <is>
          <t>E229</t>
        </is>
      </c>
      <c r="B102" s="6" t="n">
        <v>0.06579781080501923</v>
      </c>
      <c r="C102" s="6" t="inlineStr">
        <is>
          <t>A</t>
        </is>
      </c>
      <c r="D102" s="6" t="n">
        <v>0.5765201547764007</v>
      </c>
      <c r="E102" s="6" t="n">
        <v>0.1436832417765132</v>
      </c>
      <c r="F102" s="6" t="n">
        <v>0.1956085648988382</v>
      </c>
      <c r="G102" s="6" t="n">
        <v>101</v>
      </c>
      <c r="H102" s="6" t="n">
        <v>245</v>
      </c>
      <c r="I102" s="6" t="inlineStr">
        <is>
          <t>***家贸易有限公司</t>
        </is>
      </c>
      <c r="J102" s="6" t="b">
        <v>0</v>
      </c>
      <c r="K102" s="6" t="n">
        <v>0</v>
      </c>
      <c r="L102" s="6" t="n">
        <v>0.1225</v>
      </c>
      <c r="M102" s="6" t="n">
        <v>0.81480900767149</v>
      </c>
      <c r="N102" s="6" t="n">
        <v>0.00925234229660161</v>
      </c>
      <c r="O102" s="6" t="inlineStr"/>
      <c r="P102" s="6" t="n">
        <v>0</v>
      </c>
      <c r="Q102" s="6" t="n">
        <v>0</v>
      </c>
      <c r="R102" s="6" t="n">
        <v>0</v>
      </c>
      <c r="S102" s="6" t="n">
        <v>0</v>
      </c>
      <c r="T102" s="6" t="n">
        <v>0</v>
      </c>
      <c r="U102" s="6" t="n">
        <v>0</v>
      </c>
      <c r="V102" s="9">
        <f>K102*(1-M102)*((1-B102)*L102-B102*'模型说明与假设'!$B$7-'模型说明与假设'!$B$8)</f>
        <v/>
      </c>
      <c r="W102" s="6" t="b">
        <v>0</v>
      </c>
    </row>
    <row r="103">
      <c r="A103" s="6" t="inlineStr">
        <is>
          <t>E260</t>
        </is>
      </c>
      <c r="B103" s="6" t="n">
        <v>0.06648884188868563</v>
      </c>
      <c r="C103" s="6" t="inlineStr">
        <is>
          <t>A</t>
        </is>
      </c>
      <c r="D103" s="6" t="n">
        <v>0.745330106838118</v>
      </c>
      <c r="E103" s="6" t="n">
        <v>0.07544776254148441</v>
      </c>
      <c r="F103" s="6" t="n">
        <v>0.2208093317100363</v>
      </c>
      <c r="G103" s="6" t="n">
        <v>102</v>
      </c>
      <c r="H103" s="6" t="n">
        <v>44</v>
      </c>
      <c r="I103" s="6" t="inlineStr">
        <is>
          <t>***广告有限公司</t>
        </is>
      </c>
      <c r="J103" s="6" t="b">
        <v>0</v>
      </c>
      <c r="K103" s="6" t="n">
        <v>0</v>
      </c>
      <c r="L103" s="6" t="n">
        <v>0.1225</v>
      </c>
      <c r="M103" s="6" t="n">
        <v>0.81480900767149</v>
      </c>
      <c r="N103" s="6" t="n">
        <v>0.009159881997649227</v>
      </c>
      <c r="O103" s="6" t="inlineStr"/>
      <c r="P103" s="6" t="n">
        <v>0</v>
      </c>
      <c r="Q103" s="6" t="n">
        <v>0</v>
      </c>
      <c r="R103" s="6" t="n">
        <v>0</v>
      </c>
      <c r="S103" s="6" t="n">
        <v>0</v>
      </c>
      <c r="T103" s="6" t="n">
        <v>0</v>
      </c>
      <c r="U103" s="6" t="n">
        <v>0</v>
      </c>
      <c r="V103" s="9">
        <f>K103*(1-M103)*((1-B103)*L103-B103*'模型说明与假设'!$B$7-'模型说明与假设'!$B$8)</f>
        <v/>
      </c>
      <c r="W103" s="6" t="b">
        <v>0</v>
      </c>
    </row>
    <row r="104">
      <c r="A104" s="6" t="inlineStr">
        <is>
          <t>E163</t>
        </is>
      </c>
      <c r="B104" s="6" t="n">
        <v>0.06733057128439231</v>
      </c>
      <c r="C104" s="6" t="inlineStr">
        <is>
          <t>A</t>
        </is>
      </c>
      <c r="D104" s="6" t="n">
        <v>0.7091214895155092</v>
      </c>
      <c r="E104" s="6" t="n">
        <v>0.0916167232276875</v>
      </c>
      <c r="F104" s="6" t="n">
        <v>0.223348872116876</v>
      </c>
      <c r="G104" s="6" t="n">
        <v>103</v>
      </c>
      <c r="H104" s="6" t="n">
        <v>101</v>
      </c>
      <c r="I104" s="6" t="inlineStr">
        <is>
          <t>***物流有限公司</t>
        </is>
      </c>
      <c r="J104" s="6" t="b">
        <v>0</v>
      </c>
      <c r="K104" s="6" t="n">
        <v>0</v>
      </c>
      <c r="L104" s="6" t="n">
        <v>0.1225</v>
      </c>
      <c r="M104" s="6" t="n">
        <v>0.81480900767149</v>
      </c>
      <c r="N104" s="6" t="n">
        <v>0.009047258190408712</v>
      </c>
      <c r="O104" s="6" t="inlineStr"/>
      <c r="P104" s="6" t="n">
        <v>0</v>
      </c>
      <c r="Q104" s="6" t="n">
        <v>0</v>
      </c>
      <c r="R104" s="6" t="n">
        <v>0</v>
      </c>
      <c r="S104" s="6" t="n">
        <v>0</v>
      </c>
      <c r="T104" s="6" t="n">
        <v>0</v>
      </c>
      <c r="U104" s="6" t="n">
        <v>0</v>
      </c>
      <c r="V104" s="9">
        <f>K104*(1-M104)*((1-B104)*L104-B104*'模型说明与假设'!$B$7-'模型说明与假设'!$B$8)</f>
        <v/>
      </c>
      <c r="W104" s="6" t="b">
        <v>0</v>
      </c>
    </row>
    <row r="105">
      <c r="A105" s="6" t="inlineStr">
        <is>
          <t>E137</t>
        </is>
      </c>
      <c r="B105" s="6" t="n">
        <v>0.06739484647581304</v>
      </c>
      <c r="C105" s="6" t="inlineStr">
        <is>
          <t>A</t>
        </is>
      </c>
      <c r="D105" s="6" t="n">
        <v>0.7255405065864141</v>
      </c>
      <c r="E105" s="6" t="n">
        <v>0.08437083047412897</v>
      </c>
      <c r="F105" s="6" t="n">
        <v>0.2230363917165412</v>
      </c>
      <c r="G105" s="6" t="n">
        <v>104</v>
      </c>
      <c r="H105" s="6" t="n">
        <v>73</v>
      </c>
      <c r="I105" s="6" t="inlineStr">
        <is>
          <t>***建设工程有限公司</t>
        </is>
      </c>
      <c r="J105" s="6" t="b">
        <v>0</v>
      </c>
      <c r="K105" s="6" t="n">
        <v>0</v>
      </c>
      <c r="L105" s="6" t="n">
        <v>0.1225</v>
      </c>
      <c r="M105" s="6" t="n">
        <v>0.81480900767149</v>
      </c>
      <c r="N105" s="6" t="n">
        <v>0.009038658138175969</v>
      </c>
      <c r="O105" s="6" t="inlineStr"/>
      <c r="P105" s="6" t="n">
        <v>0</v>
      </c>
      <c r="Q105" s="6" t="n">
        <v>0</v>
      </c>
      <c r="R105" s="6" t="n">
        <v>0</v>
      </c>
      <c r="S105" s="6" t="n">
        <v>0</v>
      </c>
      <c r="T105" s="6" t="n">
        <v>0</v>
      </c>
      <c r="U105" s="6" t="n">
        <v>0</v>
      </c>
      <c r="V105" s="9">
        <f>K105*(1-M105)*((1-B105)*L105-B105*'模型说明与假设'!$B$7-'模型说明与假设'!$B$8)</f>
        <v/>
      </c>
      <c r="W105" s="6" t="b">
        <v>0</v>
      </c>
    </row>
    <row r="106">
      <c r="A106" s="6" t="inlineStr">
        <is>
          <t>E151</t>
        </is>
      </c>
      <c r="B106" s="6" t="n">
        <v>0.06745514201961816</v>
      </c>
      <c r="C106" s="6" t="inlineStr">
        <is>
          <t>A</t>
        </is>
      </c>
      <c r="D106" s="6" t="n">
        <v>0.6986737929679271</v>
      </c>
      <c r="E106" s="6" t="n">
        <v>0.09628846588023819</v>
      </c>
      <c r="F106" s="6" t="n">
        <v>0.2232604602773507</v>
      </c>
      <c r="G106" s="6" t="n">
        <v>105</v>
      </c>
      <c r="H106" s="6" t="n">
        <v>114</v>
      </c>
      <c r="I106" s="6" t="inlineStr">
        <is>
          <t>***路桥工程有限公司</t>
        </is>
      </c>
      <c r="J106" s="6" t="b">
        <v>0</v>
      </c>
      <c r="K106" s="6" t="n">
        <v>0</v>
      </c>
      <c r="L106" s="6" t="n">
        <v>0.1225</v>
      </c>
      <c r="M106" s="6" t="n">
        <v>0.81480900767149</v>
      </c>
      <c r="N106" s="6" t="n">
        <v>0.009030590564752005</v>
      </c>
      <c r="O106" s="6" t="inlineStr"/>
      <c r="P106" s="6" t="n">
        <v>0</v>
      </c>
      <c r="Q106" s="6" t="n">
        <v>0</v>
      </c>
      <c r="R106" s="6" t="n">
        <v>0</v>
      </c>
      <c r="S106" s="6" t="n">
        <v>0</v>
      </c>
      <c r="T106" s="6" t="n">
        <v>0</v>
      </c>
      <c r="U106" s="6" t="n">
        <v>0</v>
      </c>
      <c r="V106" s="9">
        <f>K106*(1-M106)*((1-B106)*L106-B106*'模型说明与假设'!$B$7-'模型说明与假设'!$B$8)</f>
        <v/>
      </c>
      <c r="W106" s="6" t="b">
        <v>0</v>
      </c>
    </row>
    <row r="107">
      <c r="A107" s="6" t="inlineStr">
        <is>
          <t>E284</t>
        </is>
      </c>
      <c r="B107" s="6" t="n">
        <v>0.06791363529966732</v>
      </c>
      <c r="C107" s="6" t="inlineStr">
        <is>
          <t>A</t>
        </is>
      </c>
      <c r="D107" s="6" t="n">
        <v>0.7159075445442463</v>
      </c>
      <c r="E107" s="6" t="n">
        <v>0.08758906314780301</v>
      </c>
      <c r="F107" s="6" t="n">
        <v>0.2207227609282315</v>
      </c>
      <c r="G107" s="6" t="n">
        <v>106</v>
      </c>
      <c r="H107" s="6" t="n">
        <v>88</v>
      </c>
      <c r="I107" s="6" t="inlineStr">
        <is>
          <t>***成焊科技有限公司</t>
        </is>
      </c>
      <c r="J107" s="6" t="b">
        <v>0</v>
      </c>
      <c r="K107" s="6" t="n">
        <v>0</v>
      </c>
      <c r="L107" s="6" t="n">
        <v>0.1225</v>
      </c>
      <c r="M107" s="6" t="n">
        <v>0.81480900767149</v>
      </c>
      <c r="N107" s="6" t="n">
        <v>0.008969243938322288</v>
      </c>
      <c r="O107" s="6" t="inlineStr"/>
      <c r="P107" s="6" t="n">
        <v>0</v>
      </c>
      <c r="Q107" s="6" t="n">
        <v>0</v>
      </c>
      <c r="R107" s="6" t="n">
        <v>0</v>
      </c>
      <c r="S107" s="6" t="n">
        <v>0</v>
      </c>
      <c r="T107" s="6" t="n">
        <v>0</v>
      </c>
      <c r="U107" s="6" t="n">
        <v>0</v>
      </c>
      <c r="V107" s="9">
        <f>K107*(1-M107)*((1-B107)*L107-B107*'模型说明与假设'!$B$7-'模型说明与假设'!$B$8)</f>
        <v/>
      </c>
      <c r="W107" s="6" t="b">
        <v>0</v>
      </c>
    </row>
    <row r="108">
      <c r="A108" s="6" t="inlineStr">
        <is>
          <t>E202</t>
        </is>
      </c>
      <c r="B108" s="6" t="n">
        <v>0.06991740527255513</v>
      </c>
      <c r="C108" s="6" t="inlineStr">
        <is>
          <t>A</t>
        </is>
      </c>
      <c r="D108" s="6" t="n">
        <v>0.6792725182896309</v>
      </c>
      <c r="E108" s="6" t="n">
        <v>0.1074010330506843</v>
      </c>
      <c r="F108" s="6" t="n">
        <v>0.2274659152941789</v>
      </c>
      <c r="G108" s="6" t="n">
        <v>107</v>
      </c>
      <c r="H108" s="6" t="n">
        <v>147</v>
      </c>
      <c r="I108" s="6" t="inlineStr">
        <is>
          <t xml:space="preserve">个体经营E202 </t>
        </is>
      </c>
      <c r="J108" s="6" t="b">
        <v>0</v>
      </c>
      <c r="K108" s="6" t="n">
        <v>0</v>
      </c>
      <c r="L108" s="6" t="n">
        <v>0.1225</v>
      </c>
      <c r="M108" s="6" t="n">
        <v>0.81480900767149</v>
      </c>
      <c r="N108" s="6" t="n">
        <v>0.008701138530180539</v>
      </c>
      <c r="O108" s="6" t="inlineStr"/>
      <c r="P108" s="6" t="n">
        <v>0</v>
      </c>
      <c r="Q108" s="6" t="n">
        <v>0</v>
      </c>
      <c r="R108" s="6" t="n">
        <v>0</v>
      </c>
      <c r="S108" s="6" t="n">
        <v>0</v>
      </c>
      <c r="T108" s="6" t="n">
        <v>0</v>
      </c>
      <c r="U108" s="6" t="n">
        <v>0</v>
      </c>
      <c r="V108" s="9">
        <f>K108*(1-M108)*((1-B108)*L108-B108*'模型说明与假设'!$B$7-'模型说明与假设'!$B$8)</f>
        <v/>
      </c>
      <c r="W108" s="6" t="b">
        <v>0</v>
      </c>
    </row>
    <row r="109">
      <c r="A109" s="6" t="inlineStr">
        <is>
          <t>E183</t>
        </is>
      </c>
      <c r="B109" s="6" t="n">
        <v>0.07061357423686805</v>
      </c>
      <c r="C109" s="6" t="inlineStr">
        <is>
          <t>A</t>
        </is>
      </c>
      <c r="D109" s="6" t="n">
        <v>0.7176970168959137</v>
      </c>
      <c r="E109" s="6" t="n">
        <v>0.08798545760422559</v>
      </c>
      <c r="F109" s="6" t="n">
        <v>0.2236848500800009</v>
      </c>
      <c r="G109" s="6" t="n">
        <v>108</v>
      </c>
      <c r="H109" s="6" t="n">
        <v>84</v>
      </c>
      <c r="I109" s="6" t="inlineStr">
        <is>
          <t>***建设工程有限公司</t>
        </is>
      </c>
      <c r="J109" s="6" t="b">
        <v>0</v>
      </c>
      <c r="K109" s="6" t="n">
        <v>0</v>
      </c>
      <c r="L109" s="6" t="n">
        <v>0.1225</v>
      </c>
      <c r="M109" s="6" t="n">
        <v>0.81480900767149</v>
      </c>
      <c r="N109" s="6" t="n">
        <v>0.008607990780270029</v>
      </c>
      <c r="O109" s="6" t="inlineStr"/>
      <c r="P109" s="6" t="n">
        <v>0</v>
      </c>
      <c r="Q109" s="6" t="n">
        <v>0</v>
      </c>
      <c r="R109" s="6" t="n">
        <v>0</v>
      </c>
      <c r="S109" s="6" t="n">
        <v>0</v>
      </c>
      <c r="T109" s="6" t="n">
        <v>0</v>
      </c>
      <c r="U109" s="6" t="n">
        <v>0</v>
      </c>
      <c r="V109" s="9">
        <f>K109*(1-M109)*((1-B109)*L109-B109*'模型说明与假设'!$B$7-'模型说明与假设'!$B$8)</f>
        <v/>
      </c>
      <c r="W109" s="6" t="b">
        <v>0</v>
      </c>
    </row>
    <row r="110">
      <c r="A110" s="6" t="inlineStr">
        <is>
          <t>E208</t>
        </is>
      </c>
      <c r="B110" s="6" t="n">
        <v>0.07103184395003137</v>
      </c>
      <c r="C110" s="6" t="inlineStr">
        <is>
          <t>A</t>
        </is>
      </c>
      <c r="D110" s="6" t="n">
        <v>0.5751387462361444</v>
      </c>
      <c r="E110" s="6" t="n">
        <v>0.1409030264635907</v>
      </c>
      <c r="F110" s="6" t="n">
        <v>0.1907417757284839</v>
      </c>
      <c r="G110" s="6" t="n">
        <v>109</v>
      </c>
      <c r="H110" s="6" t="n">
        <v>246</v>
      </c>
      <c r="I110" s="6" t="inlineStr">
        <is>
          <t xml:space="preserve">个体经营E208 </t>
        </is>
      </c>
      <c r="J110" s="6" t="b">
        <v>0</v>
      </c>
      <c r="K110" s="6" t="n">
        <v>0</v>
      </c>
      <c r="L110" s="6" t="n">
        <v>0.1225</v>
      </c>
      <c r="M110" s="6" t="n">
        <v>0.81480900767149</v>
      </c>
      <c r="N110" s="6" t="n">
        <v>0.008552026086877919</v>
      </c>
      <c r="O110" s="6" t="inlineStr"/>
      <c r="P110" s="6" t="n">
        <v>0</v>
      </c>
      <c r="Q110" s="6" t="n">
        <v>0</v>
      </c>
      <c r="R110" s="6" t="n">
        <v>0</v>
      </c>
      <c r="S110" s="6" t="n">
        <v>0</v>
      </c>
      <c r="T110" s="6" t="n">
        <v>0</v>
      </c>
      <c r="U110" s="6" t="n">
        <v>0</v>
      </c>
      <c r="V110" s="9">
        <f>K110*(1-M110)*((1-B110)*L110-B110*'模型说明与假设'!$B$7-'模型说明与假设'!$B$8)</f>
        <v/>
      </c>
      <c r="W110" s="6" t="b">
        <v>0</v>
      </c>
    </row>
    <row r="111">
      <c r="A111" s="6" t="inlineStr">
        <is>
          <t>E290</t>
        </is>
      </c>
      <c r="B111" s="6" t="n">
        <v>0.07133833113971774</v>
      </c>
      <c r="C111" s="6" t="inlineStr">
        <is>
          <t>A</t>
        </is>
      </c>
      <c r="D111" s="6" t="n">
        <v>0.7206930733757143</v>
      </c>
      <c r="E111" s="6" t="n">
        <v>0.08648294744077412</v>
      </c>
      <c r="F111" s="6" t="n">
        <v>0.223151147517093</v>
      </c>
      <c r="G111" s="6" t="n">
        <v>110</v>
      </c>
      <c r="H111" s="6" t="n">
        <v>80</v>
      </c>
      <c r="I111" s="6" t="inlineStr">
        <is>
          <t>***机电有限公司</t>
        </is>
      </c>
      <c r="J111" s="6" t="b">
        <v>0</v>
      </c>
      <c r="K111" s="6" t="n">
        <v>0</v>
      </c>
      <c r="L111" s="6" t="n">
        <v>0.1225</v>
      </c>
      <c r="M111" s="6" t="n">
        <v>0.81480900767149</v>
      </c>
      <c r="N111" s="6" t="n">
        <v>0.008511017950119257</v>
      </c>
      <c r="O111" s="6" t="inlineStr"/>
      <c r="P111" s="6" t="n">
        <v>0</v>
      </c>
      <c r="Q111" s="6" t="n">
        <v>0</v>
      </c>
      <c r="R111" s="6" t="n">
        <v>0</v>
      </c>
      <c r="S111" s="6" t="n">
        <v>0</v>
      </c>
      <c r="T111" s="6" t="n">
        <v>0</v>
      </c>
      <c r="U111" s="6" t="n">
        <v>0</v>
      </c>
      <c r="V111" s="9">
        <f>K111*(1-M111)*((1-B111)*L111-B111*'模型说明与假设'!$B$7-'模型说明与假设'!$B$8)</f>
        <v/>
      </c>
      <c r="W111" s="6" t="b">
        <v>0</v>
      </c>
    </row>
    <row r="112">
      <c r="A112" s="6" t="inlineStr">
        <is>
          <t>E201</t>
        </is>
      </c>
      <c r="B112" s="6" t="n">
        <v>0.07157928789912314</v>
      </c>
      <c r="C112" s="6" t="inlineStr">
        <is>
          <t>A</t>
        </is>
      </c>
      <c r="D112" s="6" t="n">
        <v>0.7362653473171996</v>
      </c>
      <c r="E112" s="6" t="n">
        <v>0.0781962013419487</v>
      </c>
      <c r="F112" s="6" t="n">
        <v>0.2182995399135512</v>
      </c>
      <c r="G112" s="6" t="n">
        <v>111</v>
      </c>
      <c r="H112" s="6" t="n">
        <v>57</v>
      </c>
      <c r="I112" s="6" t="inlineStr">
        <is>
          <t>***物流有限责任公司</t>
        </is>
      </c>
      <c r="J112" s="6" t="b">
        <v>0</v>
      </c>
      <c r="K112" s="6" t="n">
        <v>0</v>
      </c>
      <c r="L112" s="6" t="n">
        <v>0.1225</v>
      </c>
      <c r="M112" s="6" t="n">
        <v>0.81480900767149</v>
      </c>
      <c r="N112" s="6" t="n">
        <v>0.008478777817170366</v>
      </c>
      <c r="O112" s="6" t="inlineStr"/>
      <c r="P112" s="6" t="n">
        <v>0</v>
      </c>
      <c r="Q112" s="6" t="n">
        <v>0</v>
      </c>
      <c r="R112" s="6" t="n">
        <v>0</v>
      </c>
      <c r="S112" s="6" t="n">
        <v>0</v>
      </c>
      <c r="T112" s="6" t="n">
        <v>0</v>
      </c>
      <c r="U112" s="6" t="n">
        <v>0</v>
      </c>
      <c r="V112" s="9">
        <f>K112*(1-M112)*((1-B112)*L112-B112*'模型说明与假设'!$B$7-'模型说明与假设'!$B$8)</f>
        <v/>
      </c>
      <c r="W112" s="6" t="b">
        <v>0</v>
      </c>
    </row>
    <row r="113">
      <c r="A113" s="6" t="inlineStr">
        <is>
          <t>E266</t>
        </is>
      </c>
      <c r="B113" s="6" t="n">
        <v>0.07222526767498058</v>
      </c>
      <c r="C113" s="6" t="inlineStr">
        <is>
          <t>A</t>
        </is>
      </c>
      <c r="D113" s="6" t="n">
        <v>0.6838951620686941</v>
      </c>
      <c r="E113" s="6" t="n">
        <v>0.1026179972751995</v>
      </c>
      <c r="F113" s="6" t="n">
        <v>0.2220147984351271</v>
      </c>
      <c r="G113" s="6" t="n">
        <v>112</v>
      </c>
      <c r="H113" s="6" t="n">
        <v>142</v>
      </c>
      <c r="I113" s="6" t="inlineStr">
        <is>
          <t>***煤矿机械有限公司</t>
        </is>
      </c>
      <c r="J113" s="6" t="b">
        <v>0</v>
      </c>
      <c r="K113" s="6" t="n">
        <v>0</v>
      </c>
      <c r="L113" s="6" t="n">
        <v>0.1225</v>
      </c>
      <c r="M113" s="6" t="n">
        <v>0.81480900767149</v>
      </c>
      <c r="N113" s="6" t="n">
        <v>0.008392345405366144</v>
      </c>
      <c r="O113" s="6" t="inlineStr"/>
      <c r="P113" s="6" t="n">
        <v>0</v>
      </c>
      <c r="Q113" s="6" t="n">
        <v>0</v>
      </c>
      <c r="R113" s="6" t="n">
        <v>0</v>
      </c>
      <c r="S113" s="6" t="n">
        <v>0</v>
      </c>
      <c r="T113" s="6" t="n">
        <v>0</v>
      </c>
      <c r="U113" s="6" t="n">
        <v>0</v>
      </c>
      <c r="V113" s="9">
        <f>K113*(1-M113)*((1-B113)*L113-B113*'模型说明与假设'!$B$7-'模型说明与假设'!$B$8)</f>
        <v/>
      </c>
      <c r="W113" s="6" t="b">
        <v>0</v>
      </c>
    </row>
    <row r="114">
      <c r="A114" s="6" t="inlineStr">
        <is>
          <t>E153</t>
        </is>
      </c>
      <c r="B114" s="6" t="n">
        <v>0.07227790348963145</v>
      </c>
      <c r="C114" s="6" t="inlineStr">
        <is>
          <t>A</t>
        </is>
      </c>
      <c r="D114" s="6" t="n">
        <v>0.6457118808078597</v>
      </c>
      <c r="E114" s="6" t="n">
        <v>0.1212034979219187</v>
      </c>
      <c r="F114" s="6" t="n">
        <v>0.2209008272196949</v>
      </c>
      <c r="G114" s="6" t="n">
        <v>113</v>
      </c>
      <c r="H114" s="6" t="n">
        <v>183</v>
      </c>
      <c r="I114" s="6" t="inlineStr">
        <is>
          <t xml:space="preserve">个体经营E153 </t>
        </is>
      </c>
      <c r="J114" s="6" t="b">
        <v>0</v>
      </c>
      <c r="K114" s="6" t="n">
        <v>0</v>
      </c>
      <c r="L114" s="6" t="n">
        <v>0.1225</v>
      </c>
      <c r="M114" s="6" t="n">
        <v>0.81480900767149</v>
      </c>
      <c r="N114" s="6" t="n">
        <v>0.00838530270747128</v>
      </c>
      <c r="O114" s="6" t="inlineStr"/>
      <c r="P114" s="6" t="n">
        <v>0</v>
      </c>
      <c r="Q114" s="6" t="n">
        <v>0</v>
      </c>
      <c r="R114" s="6" t="n">
        <v>0</v>
      </c>
      <c r="S114" s="6" t="n">
        <v>0</v>
      </c>
      <c r="T114" s="6" t="n">
        <v>0</v>
      </c>
      <c r="U114" s="6" t="n">
        <v>0</v>
      </c>
      <c r="V114" s="9">
        <f>K114*(1-M114)*((1-B114)*L114-B114*'模型说明与假设'!$B$7-'模型说明与假设'!$B$8)</f>
        <v/>
      </c>
      <c r="W114" s="6" t="b">
        <v>0</v>
      </c>
    </row>
    <row r="115">
      <c r="A115" s="6" t="inlineStr">
        <is>
          <t>E301</t>
        </is>
      </c>
      <c r="B115" s="6" t="n">
        <v>0.07341740344769296</v>
      </c>
      <c r="C115" s="6" t="inlineStr">
        <is>
          <t>A</t>
        </is>
      </c>
      <c r="D115" s="6" t="n">
        <v>0.7442782744877131</v>
      </c>
      <c r="E115" s="6" t="n">
        <v>0.07823231232390586</v>
      </c>
      <c r="F115" s="6" t="n">
        <v>0.2276952038743492</v>
      </c>
      <c r="G115" s="6" t="n">
        <v>114</v>
      </c>
      <c r="H115" s="6" t="n">
        <v>46</v>
      </c>
      <c r="I115" s="6" t="inlineStr">
        <is>
          <t>***企业管理咨询有限公司</t>
        </is>
      </c>
      <c r="J115" s="6" t="b">
        <v>0</v>
      </c>
      <c r="K115" s="6" t="n">
        <v>0</v>
      </c>
      <c r="L115" s="6" t="n">
        <v>0.1225</v>
      </c>
      <c r="M115" s="6" t="n">
        <v>0.81480900767149</v>
      </c>
      <c r="N115" s="6" t="n">
        <v>0.008232837052497275</v>
      </c>
      <c r="O115" s="6" t="inlineStr"/>
      <c r="P115" s="6" t="n">
        <v>0</v>
      </c>
      <c r="Q115" s="6" t="n">
        <v>0</v>
      </c>
      <c r="R115" s="6" t="n">
        <v>0</v>
      </c>
      <c r="S115" s="6" t="n">
        <v>0</v>
      </c>
      <c r="T115" s="6" t="n">
        <v>0</v>
      </c>
      <c r="U115" s="6" t="n">
        <v>0</v>
      </c>
      <c r="V115" s="9">
        <f>K115*(1-M115)*((1-B115)*L115-B115*'模型说明与假设'!$B$7-'模型说明与假设'!$B$8)</f>
        <v/>
      </c>
      <c r="W115" s="6" t="b">
        <v>0</v>
      </c>
    </row>
    <row r="116">
      <c r="A116" s="6" t="inlineStr">
        <is>
          <t>E207</t>
        </is>
      </c>
      <c r="B116" s="6" t="n">
        <v>0.07354209956783396</v>
      </c>
      <c r="C116" s="6" t="inlineStr">
        <is>
          <t>A</t>
        </is>
      </c>
      <c r="D116" s="6" t="n">
        <v>0.6981432293234361</v>
      </c>
      <c r="E116" s="6" t="n">
        <v>0.09557850522168454</v>
      </c>
      <c r="F116" s="6" t="n">
        <v>0.2210567817969254</v>
      </c>
      <c r="G116" s="6" t="n">
        <v>115</v>
      </c>
      <c r="H116" s="6" t="n">
        <v>115</v>
      </c>
      <c r="I116" s="6" t="inlineStr">
        <is>
          <t xml:space="preserve">个体经营E207 </t>
        </is>
      </c>
      <c r="J116" s="6" t="b">
        <v>0</v>
      </c>
      <c r="K116" s="6" t="n">
        <v>0</v>
      </c>
      <c r="L116" s="6" t="n">
        <v>0.1225</v>
      </c>
      <c r="M116" s="6" t="n">
        <v>0.81480900767149</v>
      </c>
      <c r="N116" s="6" t="n">
        <v>0.008216152650277236</v>
      </c>
      <c r="O116" s="6" t="inlineStr"/>
      <c r="P116" s="6" t="n">
        <v>0</v>
      </c>
      <c r="Q116" s="6" t="n">
        <v>0</v>
      </c>
      <c r="R116" s="6" t="n">
        <v>0</v>
      </c>
      <c r="S116" s="6" t="n">
        <v>0</v>
      </c>
      <c r="T116" s="6" t="n">
        <v>0</v>
      </c>
      <c r="U116" s="6" t="n">
        <v>0</v>
      </c>
      <c r="V116" s="9">
        <f>K116*(1-M116)*((1-B116)*L116-B116*'模型说明与假设'!$B$7-'模型说明与假设'!$B$8)</f>
        <v/>
      </c>
      <c r="W116" s="6" t="b">
        <v>0</v>
      </c>
    </row>
    <row r="117">
      <c r="A117" s="6" t="inlineStr">
        <is>
          <t>E355</t>
        </is>
      </c>
      <c r="B117" s="6" t="n">
        <v>0.07410554189409346</v>
      </c>
      <c r="C117" s="6" t="inlineStr">
        <is>
          <t>A</t>
        </is>
      </c>
      <c r="D117" s="6" t="n">
        <v>0.6104941230916799</v>
      </c>
      <c r="E117" s="6" t="n">
        <v>0.131565911782264</v>
      </c>
      <c r="F117" s="6" t="n">
        <v>0.2062105367441631</v>
      </c>
      <c r="G117" s="6" t="n">
        <v>116</v>
      </c>
      <c r="H117" s="6" t="n">
        <v>215</v>
      </c>
      <c r="I117" s="6" t="inlineStr">
        <is>
          <t>***地毯经营部</t>
        </is>
      </c>
      <c r="J117" s="6" t="b">
        <v>0</v>
      </c>
      <c r="K117" s="6" t="n">
        <v>0</v>
      </c>
      <c r="L117" s="6" t="n">
        <v>0.1225</v>
      </c>
      <c r="M117" s="6" t="n">
        <v>0.81480900767149</v>
      </c>
      <c r="N117" s="6" t="n">
        <v>0.00814076378983412</v>
      </c>
      <c r="O117" s="6" t="inlineStr"/>
      <c r="P117" s="6" t="n">
        <v>0</v>
      </c>
      <c r="Q117" s="6" t="n">
        <v>0</v>
      </c>
      <c r="R117" s="6" t="n">
        <v>0</v>
      </c>
      <c r="S117" s="6" t="n">
        <v>0</v>
      </c>
      <c r="T117" s="6" t="n">
        <v>0</v>
      </c>
      <c r="U117" s="6" t="n">
        <v>0</v>
      </c>
      <c r="V117" s="9">
        <f>K117*(1-M117)*((1-B117)*L117-B117*'模型说明与假设'!$B$7-'模型说明与假设'!$B$8)</f>
        <v/>
      </c>
      <c r="W117" s="6" t="b">
        <v>0</v>
      </c>
    </row>
    <row r="118">
      <c r="A118" s="6" t="inlineStr">
        <is>
          <t>E375</t>
        </is>
      </c>
      <c r="B118" s="6" t="n">
        <v>0.07511267615900649</v>
      </c>
      <c r="C118" s="6" t="inlineStr">
        <is>
          <t>A</t>
        </is>
      </c>
      <c r="D118" s="6" t="n">
        <v>0.6296604072074845</v>
      </c>
      <c r="E118" s="6" t="n">
        <v>0.1261722112926249</v>
      </c>
      <c r="F118" s="6" t="n">
        <v>0.2145210706252863</v>
      </c>
      <c r="G118" s="6" t="n">
        <v>117</v>
      </c>
      <c r="H118" s="6" t="n">
        <v>195</v>
      </c>
      <c r="I118" s="6" t="inlineStr">
        <is>
          <t>***电器经营部</t>
        </is>
      </c>
      <c r="J118" s="6" t="b">
        <v>0</v>
      </c>
      <c r="K118" s="6" t="n">
        <v>0</v>
      </c>
      <c r="L118" s="6" t="n">
        <v>0.1225</v>
      </c>
      <c r="M118" s="6" t="n">
        <v>0.81480900767149</v>
      </c>
      <c r="N118" s="6" t="n">
        <v>0.008006008729721655</v>
      </c>
      <c r="O118" s="6" t="inlineStr"/>
      <c r="P118" s="6" t="n">
        <v>0</v>
      </c>
      <c r="Q118" s="6" t="n">
        <v>0</v>
      </c>
      <c r="R118" s="6" t="n">
        <v>0</v>
      </c>
      <c r="S118" s="6" t="n">
        <v>0</v>
      </c>
      <c r="T118" s="6" t="n">
        <v>0</v>
      </c>
      <c r="U118" s="6" t="n">
        <v>0</v>
      </c>
      <c r="V118" s="9">
        <f>K118*(1-M118)*((1-B118)*L118-B118*'模型说明与假设'!$B$7-'模型说明与假设'!$B$8)</f>
        <v/>
      </c>
      <c r="W118" s="6" t="b">
        <v>0</v>
      </c>
    </row>
    <row r="119">
      <c r="A119" s="6" t="inlineStr">
        <is>
          <t>E179</t>
        </is>
      </c>
      <c r="B119" s="6" t="n">
        <v>0.07626215655777439</v>
      </c>
      <c r="C119" s="6" t="inlineStr">
        <is>
          <t>A</t>
        </is>
      </c>
      <c r="D119" s="6" t="n">
        <v>0.7221881501111391</v>
      </c>
      <c r="E119" s="6" t="n">
        <v>0.08458668486694629</v>
      </c>
      <c r="F119" s="6" t="n">
        <v>0.2198880339068761</v>
      </c>
      <c r="G119" s="6" t="n">
        <v>118</v>
      </c>
      <c r="H119" s="6" t="n">
        <v>77</v>
      </c>
      <c r="I119" s="6" t="inlineStr">
        <is>
          <t>***园林有限公司</t>
        </is>
      </c>
      <c r="J119" s="6" t="b">
        <v>0</v>
      </c>
      <c r="K119" s="6" t="n">
        <v>0</v>
      </c>
      <c r="L119" s="6" t="n">
        <v>0.1225</v>
      </c>
      <c r="M119" s="6" t="n">
        <v>0.81480900767149</v>
      </c>
      <c r="N119" s="6" t="n">
        <v>0.007852207686871183</v>
      </c>
      <c r="O119" s="6" t="inlineStr"/>
      <c r="P119" s="6" t="n">
        <v>0</v>
      </c>
      <c r="Q119" s="6" t="n">
        <v>0</v>
      </c>
      <c r="R119" s="6" t="n">
        <v>0</v>
      </c>
      <c r="S119" s="6" t="n">
        <v>0</v>
      </c>
      <c r="T119" s="6" t="n">
        <v>0</v>
      </c>
      <c r="U119" s="6" t="n">
        <v>0</v>
      </c>
      <c r="V119" s="9">
        <f>K119*(1-M119)*((1-B119)*L119-B119*'模型说明与假设'!$B$7-'模型说明与假设'!$B$8)</f>
        <v/>
      </c>
      <c r="W119" s="6" t="b">
        <v>0</v>
      </c>
    </row>
    <row r="120">
      <c r="A120" s="6" t="inlineStr">
        <is>
          <t>E255</t>
        </is>
      </c>
      <c r="B120" s="6" t="n">
        <v>0.07645970487161602</v>
      </c>
      <c r="C120" s="6" t="inlineStr">
        <is>
          <t>A</t>
        </is>
      </c>
      <c r="D120" s="6" t="n">
        <v>0.7051106666370375</v>
      </c>
      <c r="E120" s="6" t="n">
        <v>0.09276856450163928</v>
      </c>
      <c r="F120" s="6" t="n">
        <v>0.2218191604719721</v>
      </c>
      <c r="G120" s="6" t="n">
        <v>119</v>
      </c>
      <c r="H120" s="6" t="n">
        <v>106</v>
      </c>
      <c r="I120" s="6" t="inlineStr">
        <is>
          <t xml:space="preserve">个体经营E255 </t>
        </is>
      </c>
      <c r="J120" s="6" t="b">
        <v>0</v>
      </c>
      <c r="K120" s="6" t="n">
        <v>0</v>
      </c>
      <c r="L120" s="6" t="n">
        <v>0.1225</v>
      </c>
      <c r="M120" s="6" t="n">
        <v>0.81480900767149</v>
      </c>
      <c r="N120" s="6" t="n">
        <v>0.007825775625293827</v>
      </c>
      <c r="O120" s="6" t="inlineStr"/>
      <c r="P120" s="6" t="n">
        <v>0</v>
      </c>
      <c r="Q120" s="6" t="n">
        <v>0</v>
      </c>
      <c r="R120" s="6" t="n">
        <v>0</v>
      </c>
      <c r="S120" s="6" t="n">
        <v>0</v>
      </c>
      <c r="T120" s="6" t="n">
        <v>0</v>
      </c>
      <c r="U120" s="6" t="n">
        <v>0</v>
      </c>
      <c r="V120" s="9">
        <f>K120*(1-M120)*((1-B120)*L120-B120*'模型说明与假设'!$B$7-'模型说明与假设'!$B$8)</f>
        <v/>
      </c>
      <c r="W120" s="6" t="b">
        <v>0</v>
      </c>
    </row>
    <row r="121">
      <c r="A121" s="6" t="inlineStr">
        <is>
          <t>E230</t>
        </is>
      </c>
      <c r="B121" s="6" t="n">
        <v>0.07750003743600138</v>
      </c>
      <c r="C121" s="6" t="inlineStr">
        <is>
          <t>A</t>
        </is>
      </c>
      <c r="D121" s="6" t="n">
        <v>0.6910856851950999</v>
      </c>
      <c r="E121" s="6" t="n">
        <v>0.09784525793293332</v>
      </c>
      <c r="F121" s="6" t="n">
        <v>0.2188938934875151</v>
      </c>
      <c r="G121" s="6" t="n">
        <v>120</v>
      </c>
      <c r="H121" s="6" t="n">
        <v>127</v>
      </c>
      <c r="I121" s="6" t="inlineStr">
        <is>
          <t>***建筑劳务有限公司</t>
        </is>
      </c>
      <c r="J121" s="6" t="b">
        <v>0</v>
      </c>
      <c r="K121" s="6" t="n">
        <v>0</v>
      </c>
      <c r="L121" s="6" t="n">
        <v>0.1225</v>
      </c>
      <c r="M121" s="6" t="n">
        <v>0.81480900767149</v>
      </c>
      <c r="N121" s="6" t="n">
        <v>0.007686578616379815</v>
      </c>
      <c r="O121" s="6" t="inlineStr"/>
      <c r="P121" s="6" t="n">
        <v>0</v>
      </c>
      <c r="Q121" s="6" t="n">
        <v>0</v>
      </c>
      <c r="R121" s="6" t="n">
        <v>0</v>
      </c>
      <c r="S121" s="6" t="n">
        <v>0</v>
      </c>
      <c r="T121" s="6" t="n">
        <v>0</v>
      </c>
      <c r="U121" s="6" t="n">
        <v>0</v>
      </c>
      <c r="V121" s="9">
        <f>K121*(1-M121)*((1-B121)*L121-B121*'模型说明与假设'!$B$7-'模型说明与假设'!$B$8)</f>
        <v/>
      </c>
      <c r="W121" s="6" t="b">
        <v>0</v>
      </c>
    </row>
    <row r="122">
      <c r="A122" s="6" t="inlineStr">
        <is>
          <t>E299</t>
        </is>
      </c>
      <c r="B122" s="6" t="n">
        <v>0.07855446675716138</v>
      </c>
      <c r="C122" s="6" t="inlineStr">
        <is>
          <t>A</t>
        </is>
      </c>
      <c r="D122" s="6" t="n">
        <v>0.5568083616278211</v>
      </c>
      <c r="E122" s="6" t="n">
        <v>0.1470129170018833</v>
      </c>
      <c r="F122" s="6" t="n">
        <v>0.1847011864993798</v>
      </c>
      <c r="G122" s="6" t="n">
        <v>121</v>
      </c>
      <c r="H122" s="6" t="n">
        <v>258</v>
      </c>
      <c r="I122" s="6" t="inlineStr">
        <is>
          <t>***压缩天然气有限责任公司</t>
        </is>
      </c>
      <c r="J122" s="6" t="b">
        <v>0</v>
      </c>
      <c r="K122" s="6" t="n">
        <v>0</v>
      </c>
      <c r="L122" s="6" t="n">
        <v>0.1225</v>
      </c>
      <c r="M122" s="6" t="n">
        <v>0.81480900767149</v>
      </c>
      <c r="N122" s="6" t="n">
        <v>0.007545495454474356</v>
      </c>
      <c r="O122" s="6" t="inlineStr"/>
      <c r="P122" s="6" t="n">
        <v>0</v>
      </c>
      <c r="Q122" s="6" t="n">
        <v>0</v>
      </c>
      <c r="R122" s="6" t="n">
        <v>0</v>
      </c>
      <c r="S122" s="6" t="n">
        <v>0</v>
      </c>
      <c r="T122" s="6" t="n">
        <v>0</v>
      </c>
      <c r="U122" s="6" t="n">
        <v>0</v>
      </c>
      <c r="V122" s="9">
        <f>K122*(1-M122)*((1-B122)*L122-B122*'模型说明与假设'!$B$7-'模型说明与假设'!$B$8)</f>
        <v/>
      </c>
      <c r="W122" s="6" t="b">
        <v>0</v>
      </c>
    </row>
    <row r="123">
      <c r="A123" s="6" t="inlineStr">
        <is>
          <t>E272</t>
        </is>
      </c>
      <c r="B123" s="6" t="n">
        <v>0.07873356003893284</v>
      </c>
      <c r="C123" s="6" t="inlineStr">
        <is>
          <t>A</t>
        </is>
      </c>
      <c r="D123" s="6" t="n">
        <v>0.7235562706786804</v>
      </c>
      <c r="E123" s="6" t="n">
        <v>0.08387306449994764</v>
      </c>
      <c r="F123" s="6" t="n">
        <v>0.2195270694291504</v>
      </c>
      <c r="G123" s="6" t="n">
        <v>122</v>
      </c>
      <c r="H123" s="6" t="n">
        <v>75</v>
      </c>
      <c r="I123" s="6" t="inlineStr">
        <is>
          <t xml:space="preserve">个体经营E272 </t>
        </is>
      </c>
      <c r="J123" s="6" t="b">
        <v>0</v>
      </c>
      <c r="K123" s="6" t="n">
        <v>0</v>
      </c>
      <c r="L123" s="6" t="n">
        <v>0.1225</v>
      </c>
      <c r="M123" s="6" t="n">
        <v>0.81480900767149</v>
      </c>
      <c r="N123" s="6" t="n">
        <v>0.007521532685267078</v>
      </c>
      <c r="O123" s="6" t="inlineStr"/>
      <c r="P123" s="6" t="n">
        <v>0</v>
      </c>
      <c r="Q123" s="6" t="n">
        <v>0</v>
      </c>
      <c r="R123" s="6" t="n">
        <v>0</v>
      </c>
      <c r="S123" s="6" t="n">
        <v>0</v>
      </c>
      <c r="T123" s="6" t="n">
        <v>0</v>
      </c>
      <c r="U123" s="6" t="n">
        <v>0</v>
      </c>
      <c r="V123" s="9">
        <f>K123*(1-M123)*((1-B123)*L123-B123*'模型说明与假设'!$B$7-'模型说明与假设'!$B$8)</f>
        <v/>
      </c>
      <c r="W123" s="6" t="b">
        <v>0</v>
      </c>
    </row>
    <row r="124">
      <c r="A124" s="6" t="inlineStr">
        <is>
          <t>E325</t>
        </is>
      </c>
      <c r="B124" s="6" t="n">
        <v>0.07903087431271154</v>
      </c>
      <c r="C124" s="6" t="inlineStr">
        <is>
          <t>A</t>
        </is>
      </c>
      <c r="D124" s="6" t="n">
        <v>0.5151649699472735</v>
      </c>
      <c r="E124" s="6" t="n">
        <v>0.1733547080637416</v>
      </c>
      <c r="F124" s="6" t="n">
        <v>0.1841992996260267</v>
      </c>
      <c r="G124" s="6" t="n">
        <v>123</v>
      </c>
      <c r="H124" s="6" t="n">
        <v>275</v>
      </c>
      <c r="I124" s="6" t="inlineStr">
        <is>
          <t>***通讯器材有限公司</t>
        </is>
      </c>
      <c r="J124" s="6" t="b">
        <v>0</v>
      </c>
      <c r="K124" s="6" t="n">
        <v>0</v>
      </c>
      <c r="L124" s="6" t="n">
        <v>0.1225</v>
      </c>
      <c r="M124" s="6" t="n">
        <v>0.81480900767149</v>
      </c>
      <c r="N124" s="6" t="n">
        <v>0.007481751889169548</v>
      </c>
      <c r="O124" s="6" t="inlineStr"/>
      <c r="P124" s="6" t="n">
        <v>0</v>
      </c>
      <c r="Q124" s="6" t="n">
        <v>0</v>
      </c>
      <c r="R124" s="6" t="n">
        <v>0</v>
      </c>
      <c r="S124" s="6" t="n">
        <v>0</v>
      </c>
      <c r="T124" s="6" t="n">
        <v>0</v>
      </c>
      <c r="U124" s="6" t="n">
        <v>0</v>
      </c>
      <c r="V124" s="9">
        <f>K124*(1-M124)*((1-B124)*L124-B124*'模型说明与假设'!$B$7-'模型说明与假设'!$B$8)</f>
        <v/>
      </c>
      <c r="W124" s="6" t="b">
        <v>0</v>
      </c>
    </row>
    <row r="125">
      <c r="A125" s="6" t="inlineStr">
        <is>
          <t>E130</t>
        </is>
      </c>
      <c r="B125" s="6" t="n">
        <v>0.08029362147351433</v>
      </c>
      <c r="C125" s="6" t="inlineStr">
        <is>
          <t>A</t>
        </is>
      </c>
      <c r="D125" s="6" t="n">
        <v>0.7372128972356311</v>
      </c>
      <c r="E125" s="6" t="n">
        <v>0.08115993255154584</v>
      </c>
      <c r="F125" s="6" t="n">
        <v>0.2276829737318681</v>
      </c>
      <c r="G125" s="6" t="n">
        <v>124</v>
      </c>
      <c r="H125" s="6" t="n">
        <v>56</v>
      </c>
      <c r="I125" s="6" t="inlineStr">
        <is>
          <t xml:space="preserve">个体经营E130 </t>
        </is>
      </c>
      <c r="J125" s="6" t="b">
        <v>0</v>
      </c>
      <c r="K125" s="6" t="n">
        <v>0</v>
      </c>
      <c r="L125" s="6" t="n">
        <v>0.1225</v>
      </c>
      <c r="M125" s="6" t="n">
        <v>0.81480900767149</v>
      </c>
      <c r="N125" s="6" t="n">
        <v>0.007312795697836385</v>
      </c>
      <c r="O125" s="6" t="inlineStr"/>
      <c r="P125" s="6" t="n">
        <v>0</v>
      </c>
      <c r="Q125" s="6" t="n">
        <v>0</v>
      </c>
      <c r="R125" s="6" t="n">
        <v>0</v>
      </c>
      <c r="S125" s="6" t="n">
        <v>0</v>
      </c>
      <c r="T125" s="6" t="n">
        <v>0</v>
      </c>
      <c r="U125" s="6" t="n">
        <v>0</v>
      </c>
      <c r="V125" s="9">
        <f>K125*(1-M125)*((1-B125)*L125-B125*'模型说明与假设'!$B$7-'模型说明与假设'!$B$8)</f>
        <v/>
      </c>
      <c r="W125" s="6" t="b">
        <v>0</v>
      </c>
    </row>
    <row r="126">
      <c r="A126" s="6" t="inlineStr">
        <is>
          <t>E200</t>
        </is>
      </c>
      <c r="B126" s="6" t="n">
        <v>0.08029406675352031</v>
      </c>
      <c r="C126" s="6" t="inlineStr">
        <is>
          <t>A</t>
        </is>
      </c>
      <c r="D126" s="6" t="n">
        <v>0.5828973320339979</v>
      </c>
      <c r="E126" s="6" t="n">
        <v>0.1356488589342813</v>
      </c>
      <c r="F126" s="6" t="n">
        <v>0.1895680944737894</v>
      </c>
      <c r="G126" s="6" t="n">
        <v>125</v>
      </c>
      <c r="H126" s="6" t="n">
        <v>239</v>
      </c>
      <c r="I126" s="6" t="inlineStr">
        <is>
          <t xml:space="preserve">个体经营E200 </t>
        </is>
      </c>
      <c r="J126" s="6" t="b">
        <v>0</v>
      </c>
      <c r="K126" s="6" t="n">
        <v>0</v>
      </c>
      <c r="L126" s="6" t="n">
        <v>0.1225</v>
      </c>
      <c r="M126" s="6" t="n">
        <v>0.81480900767149</v>
      </c>
      <c r="N126" s="6" t="n">
        <v>0.00731273611915253</v>
      </c>
      <c r="O126" s="6" t="inlineStr"/>
      <c r="P126" s="6" t="n">
        <v>0</v>
      </c>
      <c r="Q126" s="6" t="n">
        <v>0</v>
      </c>
      <c r="R126" s="6" t="n">
        <v>0</v>
      </c>
      <c r="S126" s="6" t="n">
        <v>0</v>
      </c>
      <c r="T126" s="6" t="n">
        <v>0</v>
      </c>
      <c r="U126" s="6" t="n">
        <v>0</v>
      </c>
      <c r="V126" s="9">
        <f>K126*(1-M126)*((1-B126)*L126-B126*'模型说明与假设'!$B$7-'模型说明与假设'!$B$8)</f>
        <v/>
      </c>
      <c r="W126" s="6" t="b">
        <v>0</v>
      </c>
    </row>
    <row r="127">
      <c r="A127" s="6" t="inlineStr">
        <is>
          <t>E267</t>
        </is>
      </c>
      <c r="B127" s="6" t="n">
        <v>0.0812758504830791</v>
      </c>
      <c r="C127" s="6" t="inlineStr">
        <is>
          <t>A</t>
        </is>
      </c>
      <c r="D127" s="6" t="n">
        <v>0.6593870146966868</v>
      </c>
      <c r="E127" s="6" t="n">
        <v>0.1126989317511542</v>
      </c>
      <c r="F127" s="6" t="n">
        <v>0.2181719880724006</v>
      </c>
      <c r="G127" s="6" t="n">
        <v>126</v>
      </c>
      <c r="H127" s="6" t="n">
        <v>171</v>
      </c>
      <c r="I127" s="6" t="inlineStr">
        <is>
          <t>***林园艺场</t>
        </is>
      </c>
      <c r="J127" s="6" t="b">
        <v>0</v>
      </c>
      <c r="K127" s="6" t="n">
        <v>0</v>
      </c>
      <c r="L127" s="6" t="n">
        <v>0.1225</v>
      </c>
      <c r="M127" s="6" t="n">
        <v>0.81480900767149</v>
      </c>
      <c r="N127" s="6" t="n">
        <v>0.007181372973141846</v>
      </c>
      <c r="O127" s="6" t="inlineStr"/>
      <c r="P127" s="6" t="n">
        <v>0</v>
      </c>
      <c r="Q127" s="6" t="n">
        <v>0</v>
      </c>
      <c r="R127" s="6" t="n">
        <v>0</v>
      </c>
      <c r="S127" s="6" t="n">
        <v>0</v>
      </c>
      <c r="T127" s="6" t="n">
        <v>0</v>
      </c>
      <c r="U127" s="6" t="n">
        <v>0</v>
      </c>
      <c r="V127" s="9">
        <f>K127*(1-M127)*((1-B127)*L127-B127*'模型说明与假设'!$B$7-'模型说明与假设'!$B$8)</f>
        <v/>
      </c>
      <c r="W127" s="6" t="b">
        <v>0</v>
      </c>
    </row>
    <row r="128">
      <c r="A128" s="6" t="inlineStr">
        <is>
          <t>E189</t>
        </is>
      </c>
      <c r="B128" s="6" t="n">
        <v>0.08212730951722058</v>
      </c>
      <c r="C128" s="6" t="inlineStr">
        <is>
          <t>A</t>
        </is>
      </c>
      <c r="D128" s="6" t="n">
        <v>0.734351571830108</v>
      </c>
      <c r="E128" s="6" t="n">
        <v>0.08138145327437948</v>
      </c>
      <c r="F128" s="6" t="n">
        <v>0.2249687624413071</v>
      </c>
      <c r="G128" s="6" t="n">
        <v>127</v>
      </c>
      <c r="H128" s="6" t="n">
        <v>60</v>
      </c>
      <c r="I128" s="6" t="inlineStr">
        <is>
          <t>***石油工程技术服务有限公司</t>
        </is>
      </c>
      <c r="J128" s="6" t="b">
        <v>0</v>
      </c>
      <c r="K128" s="6" t="n">
        <v>0</v>
      </c>
      <c r="L128" s="6" t="n">
        <v>0.1225</v>
      </c>
      <c r="M128" s="6" t="n">
        <v>0.81480900767149</v>
      </c>
      <c r="N128" s="6" t="n">
        <v>0.007067447335492182</v>
      </c>
      <c r="O128" s="6" t="inlineStr"/>
      <c r="P128" s="6" t="n">
        <v>0</v>
      </c>
      <c r="Q128" s="6" t="n">
        <v>0</v>
      </c>
      <c r="R128" s="6" t="n">
        <v>0</v>
      </c>
      <c r="S128" s="6" t="n">
        <v>0</v>
      </c>
      <c r="T128" s="6" t="n">
        <v>0</v>
      </c>
      <c r="U128" s="6" t="n">
        <v>0</v>
      </c>
      <c r="V128" s="9">
        <f>K128*(1-M128)*((1-B128)*L128-B128*'模型说明与假设'!$B$7-'模型说明与假设'!$B$8)</f>
        <v/>
      </c>
      <c r="W128" s="6" t="b">
        <v>0</v>
      </c>
    </row>
    <row r="129">
      <c r="A129" s="6" t="inlineStr">
        <is>
          <t>E157</t>
        </is>
      </c>
      <c r="B129" s="6" t="n">
        <v>0.08218957594489196</v>
      </c>
      <c r="C129" s="6" t="inlineStr">
        <is>
          <t>A</t>
        </is>
      </c>
      <c r="D129" s="6" t="n">
        <v>0.7219186218019298</v>
      </c>
      <c r="E129" s="6" t="n">
        <v>0.08294902989091733</v>
      </c>
      <c r="F129" s="6" t="n">
        <v>0.2153414576937453</v>
      </c>
      <c r="G129" s="6" t="n">
        <v>128</v>
      </c>
      <c r="H129" s="6" t="n">
        <v>79</v>
      </c>
      <c r="I129" s="6" t="inlineStr">
        <is>
          <t>***环境设备工程有限公司</t>
        </is>
      </c>
      <c r="J129" s="6" t="b">
        <v>0</v>
      </c>
      <c r="K129" s="6" t="n">
        <v>0</v>
      </c>
      <c r="L129" s="6" t="n">
        <v>0.1225</v>
      </c>
      <c r="M129" s="6" t="n">
        <v>0.81480900767149</v>
      </c>
      <c r="N129" s="6" t="n">
        <v>0.007059116056837326</v>
      </c>
      <c r="O129" s="6" t="inlineStr"/>
      <c r="P129" s="6" t="n">
        <v>0</v>
      </c>
      <c r="Q129" s="6" t="n">
        <v>0</v>
      </c>
      <c r="R129" s="6" t="n">
        <v>0</v>
      </c>
      <c r="S129" s="6" t="n">
        <v>0</v>
      </c>
      <c r="T129" s="6" t="n">
        <v>0</v>
      </c>
      <c r="U129" s="6" t="n">
        <v>0</v>
      </c>
      <c r="V129" s="9">
        <f>K129*(1-M129)*((1-B129)*L129-B129*'模型说明与假设'!$B$7-'模型说明与假设'!$B$8)</f>
        <v/>
      </c>
      <c r="W129" s="6" t="b">
        <v>0</v>
      </c>
    </row>
    <row r="130">
      <c r="A130" s="6" t="inlineStr">
        <is>
          <t>E313</t>
        </is>
      </c>
      <c r="B130" s="6" t="n">
        <v>0.08312880115407734</v>
      </c>
      <c r="C130" s="6" t="inlineStr">
        <is>
          <t>A</t>
        </is>
      </c>
      <c r="D130" s="6" t="n">
        <v>0.6873550737174859</v>
      </c>
      <c r="E130" s="6" t="n">
        <v>0.09893691335451082</v>
      </c>
      <c r="F130" s="6" t="n">
        <v>0.2175144505966471</v>
      </c>
      <c r="G130" s="6" t="n">
        <v>129</v>
      </c>
      <c r="H130" s="6" t="n">
        <v>136</v>
      </c>
      <c r="I130" s="6" t="inlineStr">
        <is>
          <t>***物流有限公司</t>
        </is>
      </c>
      <c r="J130" s="6" t="b">
        <v>0</v>
      </c>
      <c r="K130" s="6" t="n">
        <v>0</v>
      </c>
      <c r="L130" s="6" t="n">
        <v>0.1225</v>
      </c>
      <c r="M130" s="6" t="n">
        <v>0.81480900767149</v>
      </c>
      <c r="N130" s="6" t="n">
        <v>0.006933447261789577</v>
      </c>
      <c r="O130" s="6" t="inlineStr"/>
      <c r="P130" s="6" t="n">
        <v>0</v>
      </c>
      <c r="Q130" s="6" t="n">
        <v>0</v>
      </c>
      <c r="R130" s="6" t="n">
        <v>0</v>
      </c>
      <c r="S130" s="6" t="n">
        <v>0</v>
      </c>
      <c r="T130" s="6" t="n">
        <v>0</v>
      </c>
      <c r="U130" s="6" t="n">
        <v>0</v>
      </c>
      <c r="V130" s="9">
        <f>K130*(1-M130)*((1-B130)*L130-B130*'模型说明与假设'!$B$7-'模型说明与假设'!$B$8)</f>
        <v/>
      </c>
      <c r="W130" s="6" t="b">
        <v>0</v>
      </c>
    </row>
    <row r="131">
      <c r="A131" s="6" t="inlineStr">
        <is>
          <t>E216</t>
        </is>
      </c>
      <c r="B131" s="6" t="n">
        <v>0.0839071417167673</v>
      </c>
      <c r="C131" s="6" t="inlineStr">
        <is>
          <t>A</t>
        </is>
      </c>
      <c r="D131" s="6" t="n">
        <v>0.7315201841816268</v>
      </c>
      <c r="E131" s="6" t="n">
        <v>0.08183728561071284</v>
      </c>
      <c r="F131" s="6" t="n">
        <v>0.2229799884970577</v>
      </c>
      <c r="G131" s="6" t="n">
        <v>130</v>
      </c>
      <c r="H131" s="6" t="n">
        <v>64</v>
      </c>
      <c r="I131" s="6" t="inlineStr">
        <is>
          <t>***建设工程有限公司</t>
        </is>
      </c>
      <c r="J131" s="6" t="b">
        <v>0</v>
      </c>
      <c r="K131" s="6" t="n">
        <v>0</v>
      </c>
      <c r="L131" s="6" t="n">
        <v>0.1225</v>
      </c>
      <c r="M131" s="6" t="n">
        <v>0.81480900767149</v>
      </c>
      <c r="N131" s="6" t="n">
        <v>0.006829304911591302</v>
      </c>
      <c r="O131" s="6" t="inlineStr"/>
      <c r="P131" s="6" t="n">
        <v>0</v>
      </c>
      <c r="Q131" s="6" t="n">
        <v>0</v>
      </c>
      <c r="R131" s="6" t="n">
        <v>0</v>
      </c>
      <c r="S131" s="6" t="n">
        <v>0</v>
      </c>
      <c r="T131" s="6" t="n">
        <v>0</v>
      </c>
      <c r="U131" s="6" t="n">
        <v>0</v>
      </c>
      <c r="V131" s="9">
        <f>K131*(1-M131)*((1-B131)*L131-B131*'模型说明与假设'!$B$7-'模型说明与假设'!$B$8)</f>
        <v/>
      </c>
      <c r="W131" s="6" t="b">
        <v>0</v>
      </c>
    </row>
    <row r="132">
      <c r="A132" s="6" t="inlineStr">
        <is>
          <t>E275</t>
        </is>
      </c>
      <c r="B132" s="6" t="n">
        <v>0.08408826471369693</v>
      </c>
      <c r="C132" s="6" t="inlineStr">
        <is>
          <t>A</t>
        </is>
      </c>
      <c r="D132" s="6" t="n">
        <v>0.6905105509516224</v>
      </c>
      <c r="E132" s="6" t="n">
        <v>0.09719265836235709</v>
      </c>
      <c r="F132" s="6" t="n">
        <v>0.2168492537648782</v>
      </c>
      <c r="G132" s="6" t="n">
        <v>131</v>
      </c>
      <c r="H132" s="6" t="n">
        <v>129</v>
      </c>
      <c r="I132" s="6" t="inlineStr">
        <is>
          <t>***网络工程有限公司</t>
        </is>
      </c>
      <c r="J132" s="6" t="b">
        <v>0</v>
      </c>
      <c r="K132" s="6" t="n">
        <v>0</v>
      </c>
      <c r="L132" s="6" t="n">
        <v>0.1225</v>
      </c>
      <c r="M132" s="6" t="n">
        <v>0.81480900767149</v>
      </c>
      <c r="N132" s="6" t="n">
        <v>0.006805070565497328</v>
      </c>
      <c r="O132" s="6" t="inlineStr"/>
      <c r="P132" s="6" t="n">
        <v>0</v>
      </c>
      <c r="Q132" s="6" t="n">
        <v>0</v>
      </c>
      <c r="R132" s="6" t="n">
        <v>0</v>
      </c>
      <c r="S132" s="6" t="n">
        <v>0</v>
      </c>
      <c r="T132" s="6" t="n">
        <v>0</v>
      </c>
      <c r="U132" s="6" t="n">
        <v>0</v>
      </c>
      <c r="V132" s="9">
        <f>K132*(1-M132)*((1-B132)*L132-B132*'模型说明与假设'!$B$7-'模型说明与假设'!$B$8)</f>
        <v/>
      </c>
      <c r="W132" s="6" t="b">
        <v>0</v>
      </c>
    </row>
    <row r="133">
      <c r="A133" s="6" t="inlineStr">
        <is>
          <t>E262</t>
        </is>
      </c>
      <c r="B133" s="6" t="n">
        <v>0.08449449199347288</v>
      </c>
      <c r="C133" s="6" t="inlineStr">
        <is>
          <t>A</t>
        </is>
      </c>
      <c r="D133" s="6" t="n">
        <v>0.7033598360989164</v>
      </c>
      <c r="E133" s="6" t="n">
        <v>0.090111861250496</v>
      </c>
      <c r="F133" s="6" t="n">
        <v>0.2136631234496349</v>
      </c>
      <c r="G133" s="6" t="n">
        <v>132</v>
      </c>
      <c r="H133" s="6" t="n">
        <v>109</v>
      </c>
      <c r="I133" s="6" t="inlineStr">
        <is>
          <t xml:space="preserve">个体经营E262 </t>
        </is>
      </c>
      <c r="J133" s="6" t="b">
        <v>0</v>
      </c>
      <c r="K133" s="6" t="n">
        <v>0</v>
      </c>
      <c r="L133" s="6" t="n">
        <v>0.1225</v>
      </c>
      <c r="M133" s="6" t="n">
        <v>0.81480900767149</v>
      </c>
      <c r="N133" s="6" t="n">
        <v>0.006750717155616812</v>
      </c>
      <c r="O133" s="6" t="inlineStr"/>
      <c r="P133" s="6" t="n">
        <v>0</v>
      </c>
      <c r="Q133" s="6" t="n">
        <v>0</v>
      </c>
      <c r="R133" s="6" t="n">
        <v>0</v>
      </c>
      <c r="S133" s="6" t="n">
        <v>0</v>
      </c>
      <c r="T133" s="6" t="n">
        <v>0</v>
      </c>
      <c r="U133" s="6" t="n">
        <v>0</v>
      </c>
      <c r="V133" s="9">
        <f>K133*(1-M133)*((1-B133)*L133-B133*'模型说明与假设'!$B$7-'模型说明与假设'!$B$8)</f>
        <v/>
      </c>
      <c r="W133" s="6" t="b">
        <v>0</v>
      </c>
    </row>
    <row r="134">
      <c r="A134" s="6" t="inlineStr">
        <is>
          <t>E283</t>
        </is>
      </c>
      <c r="B134" s="6" t="n">
        <v>0.08553334989410248</v>
      </c>
      <c r="C134" s="6" t="inlineStr">
        <is>
          <t>A</t>
        </is>
      </c>
      <c r="D134" s="6" t="n">
        <v>0.6952809402681484</v>
      </c>
      <c r="E134" s="6" t="n">
        <v>0.09599927539131266</v>
      </c>
      <c r="F134" s="6" t="n">
        <v>0.2190426372340106</v>
      </c>
      <c r="G134" s="6" t="n">
        <v>133</v>
      </c>
      <c r="H134" s="6" t="n">
        <v>120</v>
      </c>
      <c r="I134" s="6" t="inlineStr">
        <is>
          <t>***机械铸造有限责任公司</t>
        </is>
      </c>
      <c r="J134" s="6" t="b">
        <v>0</v>
      </c>
      <c r="K134" s="6" t="n">
        <v>0</v>
      </c>
      <c r="L134" s="6" t="n">
        <v>0.1225</v>
      </c>
      <c r="M134" s="6" t="n">
        <v>0.81480900767149</v>
      </c>
      <c r="N134" s="6" t="n">
        <v>0.006611717457438793</v>
      </c>
      <c r="O134" s="6" t="inlineStr"/>
      <c r="P134" s="6" t="n">
        <v>0</v>
      </c>
      <c r="Q134" s="6" t="n">
        <v>0</v>
      </c>
      <c r="R134" s="6" t="n">
        <v>0</v>
      </c>
      <c r="S134" s="6" t="n">
        <v>0</v>
      </c>
      <c r="T134" s="6" t="n">
        <v>0</v>
      </c>
      <c r="U134" s="6" t="n">
        <v>0</v>
      </c>
      <c r="V134" s="9">
        <f>K134*(1-M134)*((1-B134)*L134-B134*'模型说明与假设'!$B$7-'模型说明与假设'!$B$8)</f>
        <v/>
      </c>
      <c r="W134" s="6" t="b">
        <v>0</v>
      </c>
    </row>
    <row r="135">
      <c r="A135" s="6" t="inlineStr">
        <is>
          <t>E222</t>
        </is>
      </c>
      <c r="B135" s="6" t="n">
        <v>0.08617036862511536</v>
      </c>
      <c r="C135" s="6" t="inlineStr">
        <is>
          <t>A</t>
        </is>
      </c>
      <c r="D135" s="6" t="n">
        <v>0.7155304113618917</v>
      </c>
      <c r="E135" s="6" t="n">
        <v>0.08573404320633729</v>
      </c>
      <c r="F135" s="6" t="n">
        <v>0.2156480609995537</v>
      </c>
      <c r="G135" s="6" t="n">
        <v>134</v>
      </c>
      <c r="H135" s="6" t="n">
        <v>89</v>
      </c>
      <c r="I135" s="6" t="inlineStr">
        <is>
          <t>***数码科技有限公司</t>
        </is>
      </c>
      <c r="J135" s="6" t="b">
        <v>0</v>
      </c>
      <c r="K135" s="6" t="n">
        <v>0</v>
      </c>
      <c r="L135" s="6" t="n">
        <v>0.1225</v>
      </c>
      <c r="M135" s="6" t="n">
        <v>0.81480900767149</v>
      </c>
      <c r="N135" s="6" t="n">
        <v>0.006526484037843222</v>
      </c>
      <c r="O135" s="6" t="inlineStr"/>
      <c r="P135" s="6" t="n">
        <v>0</v>
      </c>
      <c r="Q135" s="6" t="n">
        <v>0</v>
      </c>
      <c r="R135" s="6" t="n">
        <v>0</v>
      </c>
      <c r="S135" s="6" t="n">
        <v>0</v>
      </c>
      <c r="T135" s="6" t="n">
        <v>0</v>
      </c>
      <c r="U135" s="6" t="n">
        <v>0</v>
      </c>
      <c r="V135" s="9">
        <f>K135*(1-M135)*((1-B135)*L135-B135*'模型说明与假设'!$B$7-'模型说明与假设'!$B$8)</f>
        <v/>
      </c>
      <c r="W135" s="6" t="b">
        <v>0</v>
      </c>
    </row>
    <row r="136">
      <c r="A136" s="6" t="inlineStr">
        <is>
          <t>E321</t>
        </is>
      </c>
      <c r="B136" s="6" t="n">
        <v>0.08640942252276627</v>
      </c>
      <c r="C136" s="6" t="inlineStr">
        <is>
          <t>A</t>
        </is>
      </c>
      <c r="D136" s="6" t="n">
        <v>0.6918613554756503</v>
      </c>
      <c r="E136" s="6" t="n">
        <v>0.09646370128275941</v>
      </c>
      <c r="F136" s="6" t="n">
        <v>0.216589214983758</v>
      </c>
      <c r="G136" s="6" t="n">
        <v>135</v>
      </c>
      <c r="H136" s="6" t="n">
        <v>126</v>
      </c>
      <c r="I136" s="6" t="inlineStr">
        <is>
          <t>***生物流有限公司</t>
        </is>
      </c>
      <c r="J136" s="6" t="b">
        <v>0</v>
      </c>
      <c r="K136" s="6" t="n">
        <v>0</v>
      </c>
      <c r="L136" s="6" t="n">
        <v>0.1225</v>
      </c>
      <c r="M136" s="6" t="n">
        <v>0.81480900767149</v>
      </c>
      <c r="N136" s="6" t="n">
        <v>0.006494498508733208</v>
      </c>
      <c r="O136" s="6" t="inlineStr"/>
      <c r="P136" s="6" t="n">
        <v>0</v>
      </c>
      <c r="Q136" s="6" t="n">
        <v>0</v>
      </c>
      <c r="R136" s="6" t="n">
        <v>0</v>
      </c>
      <c r="S136" s="6" t="n">
        <v>0</v>
      </c>
      <c r="T136" s="6" t="n">
        <v>0</v>
      </c>
      <c r="U136" s="6" t="n">
        <v>0</v>
      </c>
      <c r="V136" s="9">
        <f>K136*(1-M136)*((1-B136)*L136-B136*'模型说明与假设'!$B$7-'模型说明与假设'!$B$8)</f>
        <v/>
      </c>
      <c r="W136" s="6" t="b">
        <v>0</v>
      </c>
    </row>
    <row r="137">
      <c r="A137" s="6" t="inlineStr">
        <is>
          <t>E226</t>
        </is>
      </c>
      <c r="B137" s="6" t="n">
        <v>0.08665727531729453</v>
      </c>
      <c r="C137" s="6" t="inlineStr">
        <is>
          <t>A</t>
        </is>
      </c>
      <c r="D137" s="6" t="n">
        <v>0.5576019473632704</v>
      </c>
      <c r="E137" s="6" t="n">
        <v>0.1431353836909505</v>
      </c>
      <c r="F137" s="6" t="n">
        <v>0.1804089511854161</v>
      </c>
      <c r="G137" s="6" t="n">
        <v>136</v>
      </c>
      <c r="H137" s="6" t="n">
        <v>257</v>
      </c>
      <c r="I137" s="6" t="inlineStr">
        <is>
          <t>***建设工程有限公司</t>
        </is>
      </c>
      <c r="J137" s="6" t="b">
        <v>0</v>
      </c>
      <c r="K137" s="6" t="n">
        <v>0</v>
      </c>
      <c r="L137" s="6" t="n">
        <v>0.1225</v>
      </c>
      <c r="M137" s="6" t="n">
        <v>0.81480900767149</v>
      </c>
      <c r="N137" s="6" t="n">
        <v>0.006461335682892325</v>
      </c>
      <c r="O137" s="6" t="inlineStr"/>
      <c r="P137" s="6" t="n">
        <v>0</v>
      </c>
      <c r="Q137" s="6" t="n">
        <v>0</v>
      </c>
      <c r="R137" s="6" t="n">
        <v>0</v>
      </c>
      <c r="S137" s="6" t="n">
        <v>0</v>
      </c>
      <c r="T137" s="6" t="n">
        <v>0</v>
      </c>
      <c r="U137" s="6" t="n">
        <v>0</v>
      </c>
      <c r="V137" s="9">
        <f>K137*(1-M137)*((1-B137)*L137-B137*'模型说明与假设'!$B$7-'模型说明与假设'!$B$8)</f>
        <v/>
      </c>
      <c r="W137" s="6" t="b">
        <v>0</v>
      </c>
    </row>
    <row r="138">
      <c r="A138" s="6" t="inlineStr">
        <is>
          <t>E318</t>
        </is>
      </c>
      <c r="B138" s="6" t="n">
        <v>0.08675758471507838</v>
      </c>
      <c r="C138" s="6" t="inlineStr">
        <is>
          <t>A</t>
        </is>
      </c>
      <c r="D138" s="6" t="n">
        <v>0.6716053901945357</v>
      </c>
      <c r="E138" s="6" t="n">
        <v>0.1075525164877154</v>
      </c>
      <c r="F138" s="6" t="n">
        <v>0.219957476905379</v>
      </c>
      <c r="G138" s="6" t="n">
        <v>137</v>
      </c>
      <c r="H138" s="6" t="n">
        <v>157</v>
      </c>
      <c r="I138" s="6" t="inlineStr">
        <is>
          <t>***商贸有限公司</t>
        </is>
      </c>
      <c r="J138" s="6" t="b">
        <v>0</v>
      </c>
      <c r="K138" s="6" t="n">
        <v>0</v>
      </c>
      <c r="L138" s="6" t="n">
        <v>0.1225</v>
      </c>
      <c r="M138" s="6" t="n">
        <v>0.81480900767149</v>
      </c>
      <c r="N138" s="6" t="n">
        <v>0.006447914236120902</v>
      </c>
      <c r="O138" s="6" t="inlineStr"/>
      <c r="P138" s="6" t="n">
        <v>0</v>
      </c>
      <c r="Q138" s="6" t="n">
        <v>0</v>
      </c>
      <c r="R138" s="6" t="n">
        <v>0</v>
      </c>
      <c r="S138" s="6" t="n">
        <v>0</v>
      </c>
      <c r="T138" s="6" t="n">
        <v>0</v>
      </c>
      <c r="U138" s="6" t="n">
        <v>0</v>
      </c>
      <c r="V138" s="9">
        <f>K138*(1-M138)*((1-B138)*L138-B138*'模型说明与假设'!$B$7-'模型说明与假设'!$B$8)</f>
        <v/>
      </c>
      <c r="W138" s="6" t="b">
        <v>0</v>
      </c>
    </row>
    <row r="139">
      <c r="A139" s="6" t="inlineStr">
        <is>
          <t>E236</t>
        </is>
      </c>
      <c r="B139" s="6" t="n">
        <v>0.08760953142571443</v>
      </c>
      <c r="C139" s="6" t="inlineStr">
        <is>
          <t>A</t>
        </is>
      </c>
      <c r="D139" s="6" t="n">
        <v>0.6655636852232807</v>
      </c>
      <c r="E139" s="6" t="n">
        <v>0.1073471035364826</v>
      </c>
      <c r="F139" s="6" t="n">
        <v>0.2136321047416347</v>
      </c>
      <c r="G139" s="6" t="n">
        <v>138</v>
      </c>
      <c r="H139" s="6" t="n">
        <v>162</v>
      </c>
      <c r="I139" s="6" t="inlineStr">
        <is>
          <t xml:space="preserve">个体经营E236 </t>
        </is>
      </c>
      <c r="J139" s="6" t="b">
        <v>0</v>
      </c>
      <c r="K139" s="6" t="n">
        <v>0</v>
      </c>
      <c r="L139" s="6" t="n">
        <v>0.1225</v>
      </c>
      <c r="M139" s="6" t="n">
        <v>0.81480900767149</v>
      </c>
      <c r="N139" s="6" t="n">
        <v>0.006333923347116354</v>
      </c>
      <c r="O139" s="6" t="inlineStr"/>
      <c r="P139" s="6" t="n">
        <v>0</v>
      </c>
      <c r="Q139" s="6" t="n">
        <v>0</v>
      </c>
      <c r="R139" s="6" t="n">
        <v>0</v>
      </c>
      <c r="S139" s="6" t="n">
        <v>0</v>
      </c>
      <c r="T139" s="6" t="n">
        <v>0</v>
      </c>
      <c r="U139" s="6" t="n">
        <v>0</v>
      </c>
      <c r="V139" s="9">
        <f>K139*(1-M139)*((1-B139)*L139-B139*'模型说明与假设'!$B$7-'模型说明与假设'!$B$8)</f>
        <v/>
      </c>
      <c r="W139" s="6" t="b">
        <v>0</v>
      </c>
    </row>
    <row r="140">
      <c r="A140" s="6" t="inlineStr">
        <is>
          <t>E184</t>
        </is>
      </c>
      <c r="B140" s="6" t="n">
        <v>0.08809074929248138</v>
      </c>
      <c r="C140" s="6" t="inlineStr">
        <is>
          <t>A</t>
        </is>
      </c>
      <c r="D140" s="6" t="n">
        <v>0.7198826990655484</v>
      </c>
      <c r="E140" s="6" t="n">
        <v>0.08451458372574307</v>
      </c>
      <c r="F140" s="6" t="n">
        <v>0.2171968187610308</v>
      </c>
      <c r="G140" s="6" t="n">
        <v>139</v>
      </c>
      <c r="H140" s="6" t="n">
        <v>81</v>
      </c>
      <c r="I140" s="6" t="inlineStr">
        <is>
          <t>***建筑装饰工程有限公司</t>
        </is>
      </c>
      <c r="J140" s="6" t="b">
        <v>0</v>
      </c>
      <c r="K140" s="6" t="n">
        <v>0</v>
      </c>
      <c r="L140" s="6" t="n">
        <v>0.1225</v>
      </c>
      <c r="M140" s="6" t="n">
        <v>0.81480900767149</v>
      </c>
      <c r="N140" s="6" t="n">
        <v>0.006269536159804267</v>
      </c>
      <c r="O140" s="6" t="inlineStr"/>
      <c r="P140" s="6" t="n">
        <v>0</v>
      </c>
      <c r="Q140" s="6" t="n">
        <v>0</v>
      </c>
      <c r="R140" s="6" t="n">
        <v>0</v>
      </c>
      <c r="S140" s="6" t="n">
        <v>0</v>
      </c>
      <c r="T140" s="6" t="n">
        <v>0</v>
      </c>
      <c r="U140" s="6" t="n">
        <v>0</v>
      </c>
      <c r="V140" s="9">
        <f>K140*(1-M140)*((1-B140)*L140-B140*'模型说明与假设'!$B$7-'模型说明与假设'!$B$8)</f>
        <v/>
      </c>
      <c r="W140" s="6" t="b">
        <v>0</v>
      </c>
    </row>
    <row r="141">
      <c r="A141" s="6" t="inlineStr">
        <is>
          <t>E253</t>
        </is>
      </c>
      <c r="B141" s="6" t="n">
        <v>0.08818313451599233</v>
      </c>
      <c r="C141" s="6" t="inlineStr">
        <is>
          <t>A</t>
        </is>
      </c>
      <c r="D141" s="6" t="n">
        <v>0.7256158707570259</v>
      </c>
      <c r="E141" s="6" t="n">
        <v>0.08224850445323213</v>
      </c>
      <c r="F141" s="6" t="n">
        <v>0.2175082806062966</v>
      </c>
      <c r="G141" s="6" t="n">
        <v>140</v>
      </c>
      <c r="H141" s="6" t="n">
        <v>72</v>
      </c>
      <c r="I141" s="6" t="inlineStr">
        <is>
          <t>***钢结构工程有限公司</t>
        </is>
      </c>
      <c r="J141" s="6" t="b">
        <v>0</v>
      </c>
      <c r="K141" s="6" t="n">
        <v>0</v>
      </c>
      <c r="L141" s="6" t="n">
        <v>0.1225</v>
      </c>
      <c r="M141" s="6" t="n">
        <v>0.81480900767149</v>
      </c>
      <c r="N141" s="6" t="n">
        <v>0.006257174971448913</v>
      </c>
      <c r="O141" s="6" t="inlineStr"/>
      <c r="P141" s="6" t="n">
        <v>0</v>
      </c>
      <c r="Q141" s="6" t="n">
        <v>0</v>
      </c>
      <c r="R141" s="6" t="n">
        <v>0</v>
      </c>
      <c r="S141" s="6" t="n">
        <v>0</v>
      </c>
      <c r="T141" s="6" t="n">
        <v>0</v>
      </c>
      <c r="U141" s="6" t="n">
        <v>0</v>
      </c>
      <c r="V141" s="9">
        <f>K141*(1-M141)*((1-B141)*L141-B141*'模型说明与假设'!$B$7-'模型说明与假设'!$B$8)</f>
        <v/>
      </c>
      <c r="W141" s="6" t="b">
        <v>0</v>
      </c>
    </row>
    <row r="142">
      <c r="A142" s="6" t="inlineStr">
        <is>
          <t>E257</t>
        </is>
      </c>
      <c r="B142" s="6" t="n">
        <v>0.08834009078566551</v>
      </c>
      <c r="C142" s="6" t="inlineStr">
        <is>
          <t>A</t>
        </is>
      </c>
      <c r="D142" s="6" t="n">
        <v>0.6883357645184629</v>
      </c>
      <c r="E142" s="6" t="n">
        <v>0.09711879450970375</v>
      </c>
      <c r="F142" s="6" t="n">
        <v>0.2144947416397048</v>
      </c>
      <c r="G142" s="6" t="n">
        <v>141</v>
      </c>
      <c r="H142" s="6" t="n">
        <v>133</v>
      </c>
      <c r="I142" s="6" t="inlineStr">
        <is>
          <t>***门窗安装有限公司</t>
        </is>
      </c>
      <c r="J142" s="6" t="b">
        <v>0</v>
      </c>
      <c r="K142" s="6" t="n">
        <v>0</v>
      </c>
      <c r="L142" s="6" t="n">
        <v>0.1225</v>
      </c>
      <c r="M142" s="6" t="n">
        <v>0.81480900767149</v>
      </c>
      <c r="N142" s="6" t="n">
        <v>0.006236174145350851</v>
      </c>
      <c r="O142" s="6" t="inlineStr"/>
      <c r="P142" s="6" t="n">
        <v>0</v>
      </c>
      <c r="Q142" s="6" t="n">
        <v>0</v>
      </c>
      <c r="R142" s="6" t="n">
        <v>0</v>
      </c>
      <c r="S142" s="6" t="n">
        <v>0</v>
      </c>
      <c r="T142" s="6" t="n">
        <v>0</v>
      </c>
      <c r="U142" s="6" t="n">
        <v>0</v>
      </c>
      <c r="V142" s="9">
        <f>K142*(1-M142)*((1-B142)*L142-B142*'模型说明与假设'!$B$7-'模型说明与假设'!$B$8)</f>
        <v/>
      </c>
      <c r="W142" s="6" t="b">
        <v>0</v>
      </c>
    </row>
    <row r="143">
      <c r="A143" s="6" t="inlineStr">
        <is>
          <t>E306</t>
        </is>
      </c>
      <c r="B143" s="6" t="n">
        <v>0.09012594697542184</v>
      </c>
      <c r="C143" s="6" t="inlineStr">
        <is>
          <t>A</t>
        </is>
      </c>
      <c r="D143" s="6" t="n">
        <v>0.7143784306049258</v>
      </c>
      <c r="E143" s="6" t="n">
        <v>0.0864698961505819</v>
      </c>
      <c r="F143" s="6" t="n">
        <v>0.2162729825953016</v>
      </c>
      <c r="G143" s="6" t="n">
        <v>142</v>
      </c>
      <c r="H143" s="6" t="n">
        <v>92</v>
      </c>
      <c r="I143" s="6" t="inlineStr">
        <is>
          <t xml:space="preserve">个体经营E306 </t>
        </is>
      </c>
      <c r="J143" s="6" t="b">
        <v>0</v>
      </c>
      <c r="K143" s="6" t="n">
        <v>0</v>
      </c>
      <c r="L143" s="6" t="n">
        <v>0.1425</v>
      </c>
      <c r="M143" s="6" t="n">
        <v>0.880180313431412</v>
      </c>
      <c r="N143" s="6" t="n">
        <v>0.006060657603477109</v>
      </c>
      <c r="O143" s="6" t="inlineStr"/>
      <c r="P143" s="6" t="n">
        <v>0</v>
      </c>
      <c r="Q143" s="6" t="n">
        <v>0</v>
      </c>
      <c r="R143" s="6" t="n">
        <v>0</v>
      </c>
      <c r="S143" s="6" t="n">
        <v>0</v>
      </c>
      <c r="T143" s="6" t="n">
        <v>0</v>
      </c>
      <c r="U143" s="6" t="n">
        <v>0</v>
      </c>
      <c r="V143" s="9">
        <f>K143*(1-M143)*((1-B143)*L143-B143*'模型说明与假设'!$B$7-'模型说明与假设'!$B$8)</f>
        <v/>
      </c>
      <c r="W143" s="6" t="b">
        <v>0</v>
      </c>
    </row>
    <row r="144">
      <c r="A144" s="6" t="inlineStr">
        <is>
          <t>E302</t>
        </is>
      </c>
      <c r="B144" s="6" t="n">
        <v>0.09103888375758722</v>
      </c>
      <c r="C144" s="6" t="inlineStr">
        <is>
          <t>A</t>
        </is>
      </c>
      <c r="D144" s="6" t="n">
        <v>0.7005950718901413</v>
      </c>
      <c r="E144" s="6" t="n">
        <v>0.09240237251143567</v>
      </c>
      <c r="F144" s="6" t="n">
        <v>0.2162177063054737</v>
      </c>
      <c r="G144" s="6" t="n">
        <v>143</v>
      </c>
      <c r="H144" s="6" t="n">
        <v>112</v>
      </c>
      <c r="I144" s="6" t="inlineStr">
        <is>
          <t>***机电设备有限公司</t>
        </is>
      </c>
      <c r="J144" s="6" t="b">
        <v>0</v>
      </c>
      <c r="K144" s="6" t="n">
        <v>0</v>
      </c>
      <c r="L144" s="6" t="n">
        <v>0.1425</v>
      </c>
      <c r="M144" s="6" t="n">
        <v>0.880180313431412</v>
      </c>
      <c r="N144" s="6" t="n">
        <v>0.005979437162648338</v>
      </c>
      <c r="O144" s="6" t="inlineStr"/>
      <c r="P144" s="6" t="n">
        <v>0</v>
      </c>
      <c r="Q144" s="6" t="n">
        <v>0</v>
      </c>
      <c r="R144" s="6" t="n">
        <v>0</v>
      </c>
      <c r="S144" s="6" t="n">
        <v>0</v>
      </c>
      <c r="T144" s="6" t="n">
        <v>0</v>
      </c>
      <c r="U144" s="6" t="n">
        <v>0</v>
      </c>
      <c r="V144" s="9">
        <f>K144*(1-M144)*((1-B144)*L144-B144*'模型说明与假设'!$B$7-'模型说明与假设'!$B$8)</f>
        <v/>
      </c>
      <c r="W144" s="6" t="b">
        <v>0</v>
      </c>
    </row>
    <row r="145">
      <c r="A145" s="6" t="inlineStr">
        <is>
          <t>E270</t>
        </is>
      </c>
      <c r="B145" s="6" t="n">
        <v>0.09123439248227305</v>
      </c>
      <c r="C145" s="6" t="inlineStr">
        <is>
          <t>A</t>
        </is>
      </c>
      <c r="D145" s="6" t="n">
        <v>0.7107382203111313</v>
      </c>
      <c r="E145" s="6" t="n">
        <v>0.08993011074320308</v>
      </c>
      <c r="F145" s="6" t="n">
        <v>0.2209651303769073</v>
      </c>
      <c r="G145" s="6" t="n">
        <v>144</v>
      </c>
      <c r="H145" s="6" t="n">
        <v>98</v>
      </c>
      <c r="I145" s="6" t="inlineStr">
        <is>
          <t xml:space="preserve">个体经营E270 </t>
        </is>
      </c>
      <c r="J145" s="6" t="b">
        <v>0</v>
      </c>
      <c r="K145" s="6" t="n">
        <v>0</v>
      </c>
      <c r="L145" s="6" t="n">
        <v>0.1425</v>
      </c>
      <c r="M145" s="6" t="n">
        <v>0.880180313431412</v>
      </c>
      <c r="N145" s="6" t="n">
        <v>0.005962043510519224</v>
      </c>
      <c r="O145" s="6" t="inlineStr"/>
      <c r="P145" s="6" t="n">
        <v>0</v>
      </c>
      <c r="Q145" s="6" t="n">
        <v>0</v>
      </c>
      <c r="R145" s="6" t="n">
        <v>0</v>
      </c>
      <c r="S145" s="6" t="n">
        <v>0</v>
      </c>
      <c r="T145" s="6" t="n">
        <v>0</v>
      </c>
      <c r="U145" s="6" t="n">
        <v>0</v>
      </c>
      <c r="V145" s="9">
        <f>K145*(1-M145)*((1-B145)*L145-B145*'模型说明与假设'!$B$7-'模型说明与假设'!$B$8)</f>
        <v/>
      </c>
      <c r="W145" s="6" t="b">
        <v>0</v>
      </c>
    </row>
    <row r="146">
      <c r="A146" s="6" t="inlineStr">
        <is>
          <t>E177</t>
        </is>
      </c>
      <c r="B146" s="6" t="n">
        <v>0.09138638763806459</v>
      </c>
      <c r="C146" s="6" t="inlineStr">
        <is>
          <t>A</t>
        </is>
      </c>
      <c r="D146" s="6" t="n">
        <v>0.7149472440280257</v>
      </c>
      <c r="E146" s="6" t="n">
        <v>0.08678538486394603</v>
      </c>
      <c r="F146" s="6" t="n">
        <v>0.2176683804330243</v>
      </c>
      <c r="G146" s="6" t="n">
        <v>145</v>
      </c>
      <c r="H146" s="6" t="n">
        <v>90</v>
      </c>
      <c r="I146" s="6" t="inlineStr">
        <is>
          <t>***电力工程有限公司</t>
        </is>
      </c>
      <c r="J146" s="6" t="b">
        <v>0</v>
      </c>
      <c r="K146" s="6" t="n">
        <v>0</v>
      </c>
      <c r="L146" s="6" t="n">
        <v>0.1425</v>
      </c>
      <c r="M146" s="6" t="n">
        <v>0.880180313431412</v>
      </c>
      <c r="N146" s="6" t="n">
        <v>0.005948521091663513</v>
      </c>
      <c r="O146" s="6" t="inlineStr"/>
      <c r="P146" s="6" t="n">
        <v>0</v>
      </c>
      <c r="Q146" s="6" t="n">
        <v>0</v>
      </c>
      <c r="R146" s="6" t="n">
        <v>0</v>
      </c>
      <c r="S146" s="6" t="n">
        <v>0</v>
      </c>
      <c r="T146" s="6" t="n">
        <v>0</v>
      </c>
      <c r="U146" s="6" t="n">
        <v>0</v>
      </c>
      <c r="V146" s="9">
        <f>K146*(1-M146)*((1-B146)*L146-B146*'模型说明与假设'!$B$7-'模型说明与假设'!$B$8)</f>
        <v/>
      </c>
      <c r="W146" s="6" t="b">
        <v>0</v>
      </c>
    </row>
    <row r="147">
      <c r="A147" s="6" t="inlineStr">
        <is>
          <t>E136</t>
        </is>
      </c>
      <c r="B147" s="6" t="n">
        <v>0.09170187932586274</v>
      </c>
      <c r="C147" s="6" t="inlineStr">
        <is>
          <t>A</t>
        </is>
      </c>
      <c r="D147" s="6" t="n">
        <v>0.6716802344202775</v>
      </c>
      <c r="E147" s="6" t="n">
        <v>0.1047964912248871</v>
      </c>
      <c r="F147" s="6" t="n">
        <v>0.2143938293451988</v>
      </c>
      <c r="G147" s="6" t="n">
        <v>146</v>
      </c>
      <c r="H147" s="6" t="n">
        <v>156</v>
      </c>
      <c r="I147" s="6" t="inlineStr">
        <is>
          <t>***机械有限责任公司</t>
        </is>
      </c>
      <c r="J147" s="6" t="b">
        <v>0</v>
      </c>
      <c r="K147" s="6" t="n">
        <v>0</v>
      </c>
      <c r="L147" s="6" t="n">
        <v>0.1425</v>
      </c>
      <c r="M147" s="6" t="n">
        <v>0.880180313431412</v>
      </c>
      <c r="N147" s="6" t="n">
        <v>0.005920453021166888</v>
      </c>
      <c r="O147" s="6" t="inlineStr"/>
      <c r="P147" s="6" t="n">
        <v>0</v>
      </c>
      <c r="Q147" s="6" t="n">
        <v>0</v>
      </c>
      <c r="R147" s="6" t="n">
        <v>0</v>
      </c>
      <c r="S147" s="6" t="n">
        <v>0</v>
      </c>
      <c r="T147" s="6" t="n">
        <v>0</v>
      </c>
      <c r="U147" s="6" t="n">
        <v>0</v>
      </c>
      <c r="V147" s="9">
        <f>K147*(1-M147)*((1-B147)*L147-B147*'模型说明与假设'!$B$7-'模型说明与假设'!$B$8)</f>
        <v/>
      </c>
      <c r="W147" s="6" t="b">
        <v>0</v>
      </c>
    </row>
    <row r="148">
      <c r="A148" s="6" t="inlineStr">
        <is>
          <t>E356</t>
        </is>
      </c>
      <c r="B148" s="6" t="n">
        <v>0.09357228838394595</v>
      </c>
      <c r="C148" s="6" t="inlineStr">
        <is>
          <t>A</t>
        </is>
      </c>
      <c r="D148" s="6" t="n">
        <v>0.6097420678639773</v>
      </c>
      <c r="E148" s="6" t="n">
        <v>0.1364812261049647</v>
      </c>
      <c r="F148" s="6" t="n">
        <v>0.2132393429503615</v>
      </c>
      <c r="G148" s="6" t="n">
        <v>147</v>
      </c>
      <c r="H148" s="6" t="n">
        <v>216</v>
      </c>
      <c r="I148" s="6" t="inlineStr">
        <is>
          <t>***建材装饰部</t>
        </is>
      </c>
      <c r="J148" s="6" t="b">
        <v>0</v>
      </c>
      <c r="K148" s="6" t="n">
        <v>0</v>
      </c>
      <c r="L148" s="6" t="n">
        <v>0.1425</v>
      </c>
      <c r="M148" s="6" t="n">
        <v>0.880180313431412</v>
      </c>
      <c r="N148" s="6" t="n">
        <v>0.005754049989549163</v>
      </c>
      <c r="O148" s="6" t="inlineStr"/>
      <c r="P148" s="6" t="n">
        <v>0</v>
      </c>
      <c r="Q148" s="6" t="n">
        <v>0</v>
      </c>
      <c r="R148" s="6" t="n">
        <v>0</v>
      </c>
      <c r="S148" s="6" t="n">
        <v>0</v>
      </c>
      <c r="T148" s="6" t="n">
        <v>0</v>
      </c>
      <c r="U148" s="6" t="n">
        <v>0</v>
      </c>
      <c r="V148" s="9">
        <f>K148*(1-M148)*((1-B148)*L148-B148*'模型说明与假设'!$B$7-'模型说明与假设'!$B$8)</f>
        <v/>
      </c>
      <c r="W148" s="6" t="b">
        <v>0</v>
      </c>
    </row>
    <row r="149">
      <c r="A149" s="6" t="inlineStr">
        <is>
          <t>E343</t>
        </is>
      </c>
      <c r="B149" s="6" t="n">
        <v>0.0952238164860376</v>
      </c>
      <c r="C149" s="6" t="inlineStr">
        <is>
          <t>A</t>
        </is>
      </c>
      <c r="D149" s="6" t="n">
        <v>0.6383869439433519</v>
      </c>
      <c r="E149" s="6" t="n">
        <v>0.1217579736291258</v>
      </c>
      <c r="F149" s="6" t="n">
        <v>0.2149499288921039</v>
      </c>
      <c r="G149" s="6" t="n">
        <v>148</v>
      </c>
      <c r="H149" s="6" t="n">
        <v>190</v>
      </c>
      <c r="I149" s="6" t="inlineStr">
        <is>
          <t>***五金工具经营部</t>
        </is>
      </c>
      <c r="J149" s="6" t="b">
        <v>0</v>
      </c>
      <c r="K149" s="6" t="n">
        <v>0</v>
      </c>
      <c r="L149" s="6" t="n">
        <v>0.1425</v>
      </c>
      <c r="M149" s="6" t="n">
        <v>0.880180313431412</v>
      </c>
      <c r="N149" s="6" t="n">
        <v>0.005607119946731924</v>
      </c>
      <c r="O149" s="6" t="inlineStr"/>
      <c r="P149" s="6" t="n">
        <v>0</v>
      </c>
      <c r="Q149" s="6" t="n">
        <v>0</v>
      </c>
      <c r="R149" s="6" t="n">
        <v>0</v>
      </c>
      <c r="S149" s="6" t="n">
        <v>0</v>
      </c>
      <c r="T149" s="6" t="n">
        <v>0</v>
      </c>
      <c r="U149" s="6" t="n">
        <v>0</v>
      </c>
      <c r="V149" s="9">
        <f>K149*(1-M149)*((1-B149)*L149-B149*'模型说明与假设'!$B$7-'模型说明与假设'!$B$8)</f>
        <v/>
      </c>
      <c r="W149" s="6" t="b">
        <v>0</v>
      </c>
    </row>
    <row r="150">
      <c r="A150" s="6" t="inlineStr">
        <is>
          <t>E198</t>
        </is>
      </c>
      <c r="B150" s="6" t="n">
        <v>0.09581515650913408</v>
      </c>
      <c r="C150" s="6" t="inlineStr">
        <is>
          <t>A</t>
        </is>
      </c>
      <c r="D150" s="6" t="n">
        <v>0.5772985890763472</v>
      </c>
      <c r="E150" s="6" t="n">
        <v>0.1370895545935406</v>
      </c>
      <c r="F150" s="6" t="n">
        <v>0.1872281577462021</v>
      </c>
      <c r="G150" s="6" t="n">
        <v>149</v>
      </c>
      <c r="H150" s="6" t="n">
        <v>242</v>
      </c>
      <c r="I150" s="6" t="inlineStr">
        <is>
          <t>***商贸有限公司</t>
        </is>
      </c>
      <c r="J150" s="6" t="b">
        <v>0</v>
      </c>
      <c r="K150" s="6" t="n">
        <v>0</v>
      </c>
      <c r="L150" s="6" t="n">
        <v>0.1425</v>
      </c>
      <c r="M150" s="6" t="n">
        <v>0.880180313431412</v>
      </c>
      <c r="N150" s="6" t="n">
        <v>0.005554510720886438</v>
      </c>
      <c r="O150" s="6" t="inlineStr"/>
      <c r="P150" s="6" t="n">
        <v>0</v>
      </c>
      <c r="Q150" s="6" t="n">
        <v>0</v>
      </c>
      <c r="R150" s="6" t="n">
        <v>0</v>
      </c>
      <c r="S150" s="6" t="n">
        <v>0</v>
      </c>
      <c r="T150" s="6" t="n">
        <v>0</v>
      </c>
      <c r="U150" s="6" t="n">
        <v>0</v>
      </c>
      <c r="V150" s="9">
        <f>K150*(1-M150)*((1-B150)*L150-B150*'模型说明与假设'!$B$7-'模型说明与假设'!$B$8)</f>
        <v/>
      </c>
      <c r="W150" s="6" t="b">
        <v>0</v>
      </c>
    </row>
    <row r="151">
      <c r="A151" s="6" t="inlineStr">
        <is>
          <t>E359</t>
        </is>
      </c>
      <c r="B151" s="6" t="n">
        <v>0.09635976003299715</v>
      </c>
      <c r="C151" s="6" t="inlineStr">
        <is>
          <t>A</t>
        </is>
      </c>
      <c r="D151" s="6" t="n">
        <v>0.6312960867564903</v>
      </c>
      <c r="E151" s="6" t="n">
        <v>0.1247521967337085</v>
      </c>
      <c r="F151" s="6" t="n">
        <v>0.2136011330052036</v>
      </c>
      <c r="G151" s="6" t="n">
        <v>150</v>
      </c>
      <c r="H151" s="6" t="n">
        <v>194</v>
      </c>
      <c r="I151" s="6" t="inlineStr">
        <is>
          <t>***厨房用品经营部</t>
        </is>
      </c>
      <c r="J151" s="6" t="b">
        <v>0</v>
      </c>
      <c r="K151" s="6" t="n">
        <v>0</v>
      </c>
      <c r="L151" s="6" t="n">
        <v>0.1425</v>
      </c>
      <c r="M151" s="6" t="n">
        <v>0.880180313431412</v>
      </c>
      <c r="N151" s="6" t="n">
        <v>0.005506059459912869</v>
      </c>
      <c r="O151" s="6" t="inlineStr"/>
      <c r="P151" s="6" t="n">
        <v>0</v>
      </c>
      <c r="Q151" s="6" t="n">
        <v>0</v>
      </c>
      <c r="R151" s="6" t="n">
        <v>0</v>
      </c>
      <c r="S151" s="6" t="n">
        <v>0</v>
      </c>
      <c r="T151" s="6" t="n">
        <v>0</v>
      </c>
      <c r="U151" s="6" t="n">
        <v>0</v>
      </c>
      <c r="V151" s="9">
        <f>K151*(1-M151)*((1-B151)*L151-B151*'模型说明与假设'!$B$7-'模型说明与假设'!$B$8)</f>
        <v/>
      </c>
      <c r="W151" s="6" t="b">
        <v>0</v>
      </c>
    </row>
    <row r="152">
      <c r="A152" s="6" t="inlineStr">
        <is>
          <t>E252</t>
        </is>
      </c>
      <c r="B152" s="6" t="n">
        <v>0.09665008872534764</v>
      </c>
      <c r="C152" s="6" t="inlineStr">
        <is>
          <t>A</t>
        </is>
      </c>
      <c r="D152" s="6" t="n">
        <v>0.6887808196973327</v>
      </c>
      <c r="E152" s="6" t="n">
        <v>0.0974517369432302</v>
      </c>
      <c r="F152" s="6" t="n">
        <v>0.2156772188250367</v>
      </c>
      <c r="G152" s="6" t="n">
        <v>151</v>
      </c>
      <c r="H152" s="6" t="n">
        <v>132</v>
      </c>
      <c r="I152" s="6" t="inlineStr">
        <is>
          <t>***印务有限公司</t>
        </is>
      </c>
      <c r="J152" s="6" t="b">
        <v>0</v>
      </c>
      <c r="K152" s="6" t="n">
        <v>0</v>
      </c>
      <c r="L152" s="6" t="n">
        <v>0.1425</v>
      </c>
      <c r="M152" s="6" t="n">
        <v>0.880180313431412</v>
      </c>
      <c r="N152" s="6" t="n">
        <v>0.005480230043420286</v>
      </c>
      <c r="O152" s="6" t="inlineStr"/>
      <c r="P152" s="6" t="n">
        <v>0</v>
      </c>
      <c r="Q152" s="6" t="n">
        <v>0</v>
      </c>
      <c r="R152" s="6" t="n">
        <v>0</v>
      </c>
      <c r="S152" s="6" t="n">
        <v>0</v>
      </c>
      <c r="T152" s="6" t="n">
        <v>0</v>
      </c>
      <c r="U152" s="6" t="n">
        <v>0</v>
      </c>
      <c r="V152" s="9">
        <f>K152*(1-M152)*((1-B152)*L152-B152*'模型说明与假设'!$B$7-'模型说明与假设'!$B$8)</f>
        <v/>
      </c>
      <c r="W152" s="6" t="b">
        <v>0</v>
      </c>
    </row>
    <row r="153">
      <c r="A153" s="6" t="inlineStr">
        <is>
          <t>E265</t>
        </is>
      </c>
      <c r="B153" s="6" t="n">
        <v>0.09731178251939726</v>
      </c>
      <c r="C153" s="6" t="inlineStr">
        <is>
          <t>A</t>
        </is>
      </c>
      <c r="D153" s="6" t="n">
        <v>0.7051209823363566</v>
      </c>
      <c r="E153" s="6" t="n">
        <v>0.08902711265805391</v>
      </c>
      <c r="F153" s="6" t="n">
        <v>0.2128835263674855</v>
      </c>
      <c r="G153" s="6" t="n">
        <v>152</v>
      </c>
      <c r="H153" s="6" t="n">
        <v>105</v>
      </c>
      <c r="I153" s="6" t="inlineStr">
        <is>
          <t>***净化工程有限公司</t>
        </is>
      </c>
      <c r="J153" s="6" t="b">
        <v>0</v>
      </c>
      <c r="K153" s="6" t="n">
        <v>0</v>
      </c>
      <c r="L153" s="6" t="n">
        <v>0.1425</v>
      </c>
      <c r="M153" s="6" t="n">
        <v>0.880180313431412</v>
      </c>
      <c r="N153" s="6" t="n">
        <v>0.00542136171573729</v>
      </c>
      <c r="O153" s="6" t="inlineStr"/>
      <c r="P153" s="6" t="n">
        <v>0</v>
      </c>
      <c r="Q153" s="6" t="n">
        <v>0</v>
      </c>
      <c r="R153" s="6" t="n">
        <v>0</v>
      </c>
      <c r="S153" s="6" t="n">
        <v>0</v>
      </c>
      <c r="T153" s="6" t="n">
        <v>0</v>
      </c>
      <c r="U153" s="6" t="n">
        <v>0</v>
      </c>
      <c r="V153" s="9">
        <f>K153*(1-M153)*((1-B153)*L153-B153*'模型说明与假设'!$B$7-'模型说明与假设'!$B$8)</f>
        <v/>
      </c>
      <c r="W153" s="6" t="b">
        <v>0</v>
      </c>
    </row>
    <row r="154">
      <c r="A154" s="6" t="inlineStr">
        <is>
          <t>E166</t>
        </is>
      </c>
      <c r="B154" s="6" t="n">
        <v>0.09803989634220391</v>
      </c>
      <c r="C154" s="6" t="inlineStr">
        <is>
          <t>A</t>
        </is>
      </c>
      <c r="D154" s="6" t="n">
        <v>0.6718540957220263</v>
      </c>
      <c r="E154" s="6" t="n">
        <v>0.104701657562703</v>
      </c>
      <c r="F154" s="6" t="n">
        <v>0.214368780915206</v>
      </c>
      <c r="G154" s="6" t="n">
        <v>153</v>
      </c>
      <c r="H154" s="6" t="n">
        <v>155</v>
      </c>
      <c r="I154" s="6" t="inlineStr">
        <is>
          <t>***建筑工程有限公司</t>
        </is>
      </c>
      <c r="J154" s="6" t="b">
        <v>0</v>
      </c>
      <c r="K154" s="6" t="n">
        <v>0</v>
      </c>
      <c r="L154" s="6" t="n">
        <v>0.1425</v>
      </c>
      <c r="M154" s="6" t="n">
        <v>0.880180313431412</v>
      </c>
      <c r="N154" s="6" t="n">
        <v>0.005356584255986341</v>
      </c>
      <c r="O154" s="6" t="inlineStr"/>
      <c r="P154" s="6" t="n">
        <v>0</v>
      </c>
      <c r="Q154" s="6" t="n">
        <v>0</v>
      </c>
      <c r="R154" s="6" t="n">
        <v>0</v>
      </c>
      <c r="S154" s="6" t="n">
        <v>0</v>
      </c>
      <c r="T154" s="6" t="n">
        <v>0</v>
      </c>
      <c r="U154" s="6" t="n">
        <v>0</v>
      </c>
      <c r="V154" s="9">
        <f>K154*(1-M154)*((1-B154)*L154-B154*'模型说明与假设'!$B$7-'模型说明与假设'!$B$8)</f>
        <v/>
      </c>
      <c r="W154" s="6" t="b">
        <v>0</v>
      </c>
    </row>
    <row r="155">
      <c r="A155" s="6" t="inlineStr">
        <is>
          <t>E279</t>
        </is>
      </c>
      <c r="B155" s="6" t="n">
        <v>0.09811454891362099</v>
      </c>
      <c r="C155" s="6" t="inlineStr">
        <is>
          <t>A</t>
        </is>
      </c>
      <c r="D155" s="6" t="n">
        <v>0.6621713443769497</v>
      </c>
      <c r="E155" s="6" t="n">
        <v>0.1090451552568259</v>
      </c>
      <c r="F155" s="6" t="n">
        <v>0.2137372773219506</v>
      </c>
      <c r="G155" s="6" t="n">
        <v>154</v>
      </c>
      <c r="H155" s="6" t="n">
        <v>165</v>
      </c>
      <c r="I155" s="6" t="inlineStr">
        <is>
          <t>***环保包装有限公司</t>
        </is>
      </c>
      <c r="J155" s="6" t="b">
        <v>0</v>
      </c>
      <c r="K155" s="6" t="n">
        <v>0</v>
      </c>
      <c r="L155" s="6" t="n">
        <v>0.1425</v>
      </c>
      <c r="M155" s="6" t="n">
        <v>0.880180313431412</v>
      </c>
      <c r="N155" s="6" t="n">
        <v>0.005349942706562603</v>
      </c>
      <c r="O155" s="6" t="inlineStr"/>
      <c r="P155" s="6" t="n">
        <v>0</v>
      </c>
      <c r="Q155" s="6" t="n">
        <v>0</v>
      </c>
      <c r="R155" s="6" t="n">
        <v>0</v>
      </c>
      <c r="S155" s="6" t="n">
        <v>0</v>
      </c>
      <c r="T155" s="6" t="n">
        <v>0</v>
      </c>
      <c r="U155" s="6" t="n">
        <v>0</v>
      </c>
      <c r="V155" s="9">
        <f>K155*(1-M155)*((1-B155)*L155-B155*'模型说明与假设'!$B$7-'模型说明与假设'!$B$8)</f>
        <v/>
      </c>
      <c r="W155" s="6" t="b">
        <v>0</v>
      </c>
    </row>
    <row r="156">
      <c r="A156" s="6" t="inlineStr">
        <is>
          <t>E391</t>
        </is>
      </c>
      <c r="B156" s="6" t="n">
        <v>0.09827321937343407</v>
      </c>
      <c r="C156" s="6" t="inlineStr">
        <is>
          <t>A</t>
        </is>
      </c>
      <c r="D156" s="6" t="n">
        <v>0.6242313258748582</v>
      </c>
      <c r="E156" s="6" t="n">
        <v>0.1278046787785807</v>
      </c>
      <c r="F156" s="6" t="n">
        <v>0.2123106303970268</v>
      </c>
      <c r="G156" s="6" t="n">
        <v>155</v>
      </c>
      <c r="H156" s="6" t="n">
        <v>202</v>
      </c>
      <c r="I156" s="6" t="inlineStr">
        <is>
          <t>***五金店</t>
        </is>
      </c>
      <c r="J156" s="6" t="b">
        <v>0</v>
      </c>
      <c r="K156" s="6" t="n">
        <v>0</v>
      </c>
      <c r="L156" s="6" t="n">
        <v>0.1425</v>
      </c>
      <c r="M156" s="6" t="n">
        <v>0.880180313431412</v>
      </c>
      <c r="N156" s="6" t="n">
        <v>0.005335826411826451</v>
      </c>
      <c r="O156" s="6" t="inlineStr"/>
      <c r="P156" s="6" t="n">
        <v>0</v>
      </c>
      <c r="Q156" s="6" t="n">
        <v>0</v>
      </c>
      <c r="R156" s="6" t="n">
        <v>0</v>
      </c>
      <c r="S156" s="6" t="n">
        <v>0</v>
      </c>
      <c r="T156" s="6" t="n">
        <v>0</v>
      </c>
      <c r="U156" s="6" t="n">
        <v>0</v>
      </c>
      <c r="V156" s="9">
        <f>K156*(1-M156)*((1-B156)*L156-B156*'模型说明与假设'!$B$7-'模型说明与假设'!$B$8)</f>
        <v/>
      </c>
      <c r="W156" s="6" t="b">
        <v>0</v>
      </c>
    </row>
    <row r="157">
      <c r="A157" s="6" t="inlineStr">
        <is>
          <t>E364</t>
        </is>
      </c>
      <c r="B157" s="6" t="n">
        <v>0.09878174102230207</v>
      </c>
      <c r="C157" s="6" t="inlineStr">
        <is>
          <t>A</t>
        </is>
      </c>
      <c r="D157" s="6" t="n">
        <v>0.6455972896524241</v>
      </c>
      <c r="E157" s="6" t="n">
        <v>0.1144561870960214</v>
      </c>
      <c r="F157" s="6" t="n">
        <v>0.2084989815700704</v>
      </c>
      <c r="G157" s="6" t="n">
        <v>156</v>
      </c>
      <c r="H157" s="6" t="n">
        <v>184</v>
      </c>
      <c r="I157" s="6" t="inlineStr">
        <is>
          <t>***电子有限公司</t>
        </is>
      </c>
      <c r="J157" s="6" t="b">
        <v>0</v>
      </c>
      <c r="K157" s="6" t="n">
        <v>0</v>
      </c>
      <c r="L157" s="6" t="n">
        <v>0.1425</v>
      </c>
      <c r="M157" s="6" t="n">
        <v>0.880180313431412</v>
      </c>
      <c r="N157" s="6" t="n">
        <v>0.005290585215175277</v>
      </c>
      <c r="O157" s="6" t="inlineStr"/>
      <c r="P157" s="6" t="n">
        <v>0</v>
      </c>
      <c r="Q157" s="6" t="n">
        <v>0</v>
      </c>
      <c r="R157" s="6" t="n">
        <v>0</v>
      </c>
      <c r="S157" s="6" t="n">
        <v>0</v>
      </c>
      <c r="T157" s="6" t="n">
        <v>0</v>
      </c>
      <c r="U157" s="6" t="n">
        <v>0</v>
      </c>
      <c r="V157" s="9">
        <f>K157*(1-M157)*((1-B157)*L157-B157*'模型说明与假设'!$B$7-'模型说明与假设'!$B$8)</f>
        <v/>
      </c>
      <c r="W157" s="6" t="b">
        <v>0</v>
      </c>
    </row>
    <row r="158">
      <c r="A158" s="6" t="inlineStr">
        <is>
          <t>E292</t>
        </is>
      </c>
      <c r="B158" s="6" t="n">
        <v>0.09920954109816084</v>
      </c>
      <c r="C158" s="6" t="inlineStr">
        <is>
          <t>A</t>
        </is>
      </c>
      <c r="D158" s="6" t="n">
        <v>0.697788737960824</v>
      </c>
      <c r="E158" s="6" t="n">
        <v>0.09375108972744836</v>
      </c>
      <c r="F158" s="6" t="n">
        <v>0.2164659719891176</v>
      </c>
      <c r="G158" s="6" t="n">
        <v>157</v>
      </c>
      <c r="H158" s="6" t="n">
        <v>116</v>
      </c>
      <c r="I158" s="6" t="inlineStr">
        <is>
          <t>***物流有限公司</t>
        </is>
      </c>
      <c r="J158" s="6" t="b">
        <v>0</v>
      </c>
      <c r="K158" s="6" t="n">
        <v>0</v>
      </c>
      <c r="L158" s="6" t="n">
        <v>0.1425</v>
      </c>
      <c r="M158" s="6" t="n">
        <v>0.880180313431412</v>
      </c>
      <c r="N158" s="6" t="n">
        <v>0.005252525503455243</v>
      </c>
      <c r="O158" s="6" t="inlineStr"/>
      <c r="P158" s="6" t="n">
        <v>0</v>
      </c>
      <c r="Q158" s="6" t="n">
        <v>0</v>
      </c>
      <c r="R158" s="6" t="n">
        <v>0</v>
      </c>
      <c r="S158" s="6" t="n">
        <v>0</v>
      </c>
      <c r="T158" s="6" t="n">
        <v>0</v>
      </c>
      <c r="U158" s="6" t="n">
        <v>0</v>
      </c>
      <c r="V158" s="9">
        <f>K158*(1-M158)*((1-B158)*L158-B158*'模型说明与假设'!$B$7-'模型说明与假设'!$B$8)</f>
        <v/>
      </c>
      <c r="W158" s="6" t="b">
        <v>0</v>
      </c>
    </row>
    <row r="159">
      <c r="A159" s="6" t="inlineStr">
        <is>
          <t>E199</t>
        </is>
      </c>
      <c r="B159" s="6" t="n">
        <v>0.100240777155699</v>
      </c>
      <c r="C159" s="6" t="inlineStr">
        <is>
          <t>B</t>
        </is>
      </c>
      <c r="D159" s="6" t="n">
        <v>0.6763229408362659</v>
      </c>
      <c r="E159" s="6" t="n">
        <v>0.1050703979765089</v>
      </c>
      <c r="F159" s="6" t="n">
        <v>0.2195445075344757</v>
      </c>
      <c r="G159" s="6" t="n">
        <v>158</v>
      </c>
      <c r="H159" s="6" t="n">
        <v>152</v>
      </c>
      <c r="I159" s="6" t="inlineStr">
        <is>
          <t>***建筑劳务有限公司</t>
        </is>
      </c>
      <c r="J159" s="6" t="b">
        <v>0</v>
      </c>
      <c r="K159" s="6" t="n">
        <v>0</v>
      </c>
      <c r="L159" s="6" t="n">
        <v>0.1425</v>
      </c>
      <c r="M159" s="6" t="n">
        <v>0.8439092945622555</v>
      </c>
      <c r="N159" s="6" t="n">
        <v>0.00672301757618833</v>
      </c>
      <c r="O159" s="6" t="inlineStr"/>
      <c r="P159" s="6" t="n">
        <v>0</v>
      </c>
      <c r="Q159" s="6" t="n">
        <v>0</v>
      </c>
      <c r="R159" s="6" t="n">
        <v>0</v>
      </c>
      <c r="S159" s="6" t="n">
        <v>0</v>
      </c>
      <c r="T159" s="6" t="n">
        <v>0</v>
      </c>
      <c r="U159" s="6" t="n">
        <v>0</v>
      </c>
      <c r="V159" s="9">
        <f>K159*(1-M159)*((1-B159)*L159-B159*'模型说明与假设'!$B$7-'模型说明与假设'!$B$8)</f>
        <v/>
      </c>
      <c r="W159" s="6" t="b">
        <v>0</v>
      </c>
    </row>
    <row r="160">
      <c r="A160" s="6" t="inlineStr">
        <is>
          <t>E372</t>
        </is>
      </c>
      <c r="B160" s="6" t="n">
        <v>0.1013828929444995</v>
      </c>
      <c r="C160" s="6" t="inlineStr">
        <is>
          <t>B</t>
        </is>
      </c>
      <c r="D160" s="6" t="n">
        <v>0.666958267486683</v>
      </c>
      <c r="E160" s="6" t="n">
        <v>0.1076278424436312</v>
      </c>
      <c r="F160" s="6" t="n">
        <v>0.2155383915037243</v>
      </c>
      <c r="G160" s="6" t="n">
        <v>159</v>
      </c>
      <c r="H160" s="6" t="n">
        <v>161</v>
      </c>
      <c r="I160" s="6" t="inlineStr">
        <is>
          <t>***汽车维修有限责任公司</t>
        </is>
      </c>
      <c r="J160" s="6" t="b">
        <v>0</v>
      </c>
      <c r="K160" s="6" t="n">
        <v>0</v>
      </c>
      <c r="L160" s="6" t="n">
        <v>0.1425</v>
      </c>
      <c r="M160" s="6" t="n">
        <v>0.8439092945622555</v>
      </c>
      <c r="N160" s="6" t="n">
        <v>0.006590649384257988</v>
      </c>
      <c r="O160" s="6" t="inlineStr"/>
      <c r="P160" s="6" t="n">
        <v>0</v>
      </c>
      <c r="Q160" s="6" t="n">
        <v>0</v>
      </c>
      <c r="R160" s="6" t="n">
        <v>0</v>
      </c>
      <c r="S160" s="6" t="n">
        <v>0</v>
      </c>
      <c r="T160" s="6" t="n">
        <v>0</v>
      </c>
      <c r="U160" s="6" t="n">
        <v>0</v>
      </c>
      <c r="V160" s="9">
        <f>K160*(1-M160)*((1-B160)*L160-B160*'模型说明与假设'!$B$7-'模型说明与假设'!$B$8)</f>
        <v/>
      </c>
      <c r="W160" s="6" t="b">
        <v>0</v>
      </c>
    </row>
    <row r="161">
      <c r="A161" s="6" t="inlineStr">
        <is>
          <t>E328</t>
        </is>
      </c>
      <c r="B161" s="6" t="n">
        <v>0.1019278853812011</v>
      </c>
      <c r="C161" s="6" t="inlineStr">
        <is>
          <t>B</t>
        </is>
      </c>
      <c r="D161" s="6" t="n">
        <v>0.7115928459058473</v>
      </c>
      <c r="E161" s="6" t="n">
        <v>0.08801817644001897</v>
      </c>
      <c r="F161" s="6" t="n">
        <v>0.2171690395861298</v>
      </c>
      <c r="G161" s="6" t="n">
        <v>160</v>
      </c>
      <c r="H161" s="6" t="n">
        <v>97</v>
      </c>
      <c r="I161" s="6" t="inlineStr">
        <is>
          <t>***科技有限公司</t>
        </is>
      </c>
      <c r="J161" s="6" t="b">
        <v>0</v>
      </c>
      <c r="K161" s="6" t="n">
        <v>0</v>
      </c>
      <c r="L161" s="6" t="n">
        <v>0.1425</v>
      </c>
      <c r="M161" s="6" t="n">
        <v>0.8439092945622555</v>
      </c>
      <c r="N161" s="6" t="n">
        <v>0.006527486205735012</v>
      </c>
      <c r="O161" s="6" t="inlineStr"/>
      <c r="P161" s="6" t="n">
        <v>0</v>
      </c>
      <c r="Q161" s="6" t="n">
        <v>0</v>
      </c>
      <c r="R161" s="6" t="n">
        <v>0</v>
      </c>
      <c r="S161" s="6" t="n">
        <v>0</v>
      </c>
      <c r="T161" s="6" t="n">
        <v>0</v>
      </c>
      <c r="U161" s="6" t="n">
        <v>0</v>
      </c>
      <c r="V161" s="9">
        <f>K161*(1-M161)*((1-B161)*L161-B161*'模型说明与假设'!$B$7-'模型说明与假设'!$B$8)</f>
        <v/>
      </c>
      <c r="W161" s="6" t="b">
        <v>0</v>
      </c>
    </row>
    <row r="162">
      <c r="A162" s="6" t="inlineStr">
        <is>
          <t>E281</t>
        </is>
      </c>
      <c r="B162" s="6" t="n">
        <v>0.1034118615928119</v>
      </c>
      <c r="C162" s="6" t="inlineStr">
        <is>
          <t>B</t>
        </is>
      </c>
      <c r="D162" s="6" t="n">
        <v>0.5584096913876592</v>
      </c>
      <c r="E162" s="6" t="n">
        <v>0.1482553490040815</v>
      </c>
      <c r="F162" s="6" t="n">
        <v>0.1874751824696754</v>
      </c>
      <c r="G162" s="6" t="n">
        <v>161</v>
      </c>
      <c r="H162" s="6" t="n">
        <v>256</v>
      </c>
      <c r="I162" s="6" t="inlineStr">
        <is>
          <t>***商业管理有限责任公司</t>
        </is>
      </c>
      <c r="J162" s="6" t="b">
        <v>0</v>
      </c>
      <c r="K162" s="6" t="n">
        <v>0</v>
      </c>
      <c r="L162" s="6" t="n">
        <v>0.1425</v>
      </c>
      <c r="M162" s="6" t="n">
        <v>0.8439092945622555</v>
      </c>
      <c r="N162" s="6" t="n">
        <v>0.006355497297145567</v>
      </c>
      <c r="O162" s="6" t="inlineStr"/>
      <c r="P162" s="6" t="n">
        <v>0</v>
      </c>
      <c r="Q162" s="6" t="n">
        <v>0</v>
      </c>
      <c r="R162" s="6" t="n">
        <v>0</v>
      </c>
      <c r="S162" s="6" t="n">
        <v>0</v>
      </c>
      <c r="T162" s="6" t="n">
        <v>0</v>
      </c>
      <c r="U162" s="6" t="n">
        <v>0</v>
      </c>
      <c r="V162" s="9">
        <f>K162*(1-M162)*((1-B162)*L162-B162*'模型说明与假设'!$B$7-'模型说明与假设'!$B$8)</f>
        <v/>
      </c>
      <c r="W162" s="6" t="b">
        <v>0</v>
      </c>
    </row>
    <row r="163">
      <c r="A163" s="6" t="inlineStr">
        <is>
          <t>E370</t>
        </is>
      </c>
      <c r="B163" s="6" t="n">
        <v>0.1039986128194368</v>
      </c>
      <c r="C163" s="6" t="inlineStr">
        <is>
          <t>B</t>
        </is>
      </c>
      <c r="D163" s="6" t="n">
        <v>0.6177248610515309</v>
      </c>
      <c r="E163" s="6" t="n">
        <v>0.1288895075781636</v>
      </c>
      <c r="F163" s="6" t="n">
        <v>0.2082747347335447</v>
      </c>
      <c r="G163" s="6" t="n">
        <v>162</v>
      </c>
      <c r="H163" s="6" t="n">
        <v>208</v>
      </c>
      <c r="I163" s="6" t="inlineStr">
        <is>
          <t>***设计服务部</t>
        </is>
      </c>
      <c r="J163" s="6" t="b">
        <v>0</v>
      </c>
      <c r="K163" s="6" t="n">
        <v>0</v>
      </c>
      <c r="L163" s="6" t="n">
        <v>0.1425</v>
      </c>
      <c r="M163" s="6" t="n">
        <v>0.8439092945622555</v>
      </c>
      <c r="N163" s="6" t="n">
        <v>0.006287494385581909</v>
      </c>
      <c r="O163" s="6" t="inlineStr"/>
      <c r="P163" s="6" t="n">
        <v>0</v>
      </c>
      <c r="Q163" s="6" t="n">
        <v>0</v>
      </c>
      <c r="R163" s="6" t="n">
        <v>0</v>
      </c>
      <c r="S163" s="6" t="n">
        <v>0</v>
      </c>
      <c r="T163" s="6" t="n">
        <v>0</v>
      </c>
      <c r="U163" s="6" t="n">
        <v>0</v>
      </c>
      <c r="V163" s="9">
        <f>K163*(1-M163)*((1-B163)*L163-B163*'模型说明与假设'!$B$7-'模型说明与假设'!$B$8)</f>
        <v/>
      </c>
      <c r="W163" s="6" t="b">
        <v>0</v>
      </c>
    </row>
    <row r="164">
      <c r="A164" s="6" t="inlineStr">
        <is>
          <t>E244</t>
        </is>
      </c>
      <c r="B164" s="6" t="n">
        <v>0.1052108908451778</v>
      </c>
      <c r="C164" s="6" t="inlineStr">
        <is>
          <t>B</t>
        </is>
      </c>
      <c r="D164" s="6" t="n">
        <v>0.6909231420617113</v>
      </c>
      <c r="E164" s="6" t="n">
        <v>0.09775772138223134</v>
      </c>
      <c r="F164" s="6" t="n">
        <v>0.2185316379516532</v>
      </c>
      <c r="G164" s="6" t="n">
        <v>163</v>
      </c>
      <c r="H164" s="6" t="n">
        <v>128</v>
      </c>
      <c r="I164" s="6" t="inlineStr">
        <is>
          <t xml:space="preserve">个体经营E244 </t>
        </is>
      </c>
      <c r="J164" s="6" t="b">
        <v>0</v>
      </c>
      <c r="K164" s="6" t="n">
        <v>0</v>
      </c>
      <c r="L164" s="6" t="n">
        <v>0.1425</v>
      </c>
      <c r="M164" s="6" t="n">
        <v>0.8439092945622555</v>
      </c>
      <c r="N164" s="6" t="n">
        <v>0.006146994576405151</v>
      </c>
      <c r="O164" s="6" t="inlineStr"/>
      <c r="P164" s="6" t="n">
        <v>0</v>
      </c>
      <c r="Q164" s="6" t="n">
        <v>0</v>
      </c>
      <c r="R164" s="6" t="n">
        <v>0</v>
      </c>
      <c r="S164" s="6" t="n">
        <v>0</v>
      </c>
      <c r="T164" s="6" t="n">
        <v>0</v>
      </c>
      <c r="U164" s="6" t="n">
        <v>0</v>
      </c>
      <c r="V164" s="9">
        <f>K164*(1-M164)*((1-B164)*L164-B164*'模型说明与假设'!$B$7-'模型说明与假设'!$B$8)</f>
        <v/>
      </c>
      <c r="W164" s="6" t="b">
        <v>0</v>
      </c>
    </row>
    <row r="165">
      <c r="A165" s="6" t="inlineStr">
        <is>
          <t>E203</t>
        </is>
      </c>
      <c r="B165" s="6" t="n">
        <v>0.1061140196247997</v>
      </c>
      <c r="C165" s="6" t="inlineStr">
        <is>
          <t>B</t>
        </is>
      </c>
      <c r="D165" s="6" t="n">
        <v>0.7104630432956722</v>
      </c>
      <c r="E165" s="6" t="n">
        <v>0.08902963725616066</v>
      </c>
      <c r="F165" s="6" t="n">
        <v>0.2184600810497371</v>
      </c>
      <c r="G165" s="6" t="n">
        <v>164</v>
      </c>
      <c r="H165" s="6" t="n">
        <v>99</v>
      </c>
      <c r="I165" s="6" t="inlineStr">
        <is>
          <t>***建设工程有限公司</t>
        </is>
      </c>
      <c r="J165" s="6" t="b">
        <v>0</v>
      </c>
      <c r="K165" s="6" t="n">
        <v>0</v>
      </c>
      <c r="L165" s="6" t="n">
        <v>0.1425</v>
      </c>
      <c r="M165" s="6" t="n">
        <v>0.8439092945622555</v>
      </c>
      <c r="N165" s="6" t="n">
        <v>0.006042324345233263</v>
      </c>
      <c r="O165" s="6" t="inlineStr"/>
      <c r="P165" s="6" t="n">
        <v>0</v>
      </c>
      <c r="Q165" s="6" t="n">
        <v>0</v>
      </c>
      <c r="R165" s="6" t="n">
        <v>0</v>
      </c>
      <c r="S165" s="6" t="n">
        <v>0</v>
      </c>
      <c r="T165" s="6" t="n">
        <v>0</v>
      </c>
      <c r="U165" s="6" t="n">
        <v>0</v>
      </c>
      <c r="V165" s="9">
        <f>K165*(1-M165)*((1-B165)*L165-B165*'模型说明与假设'!$B$7-'模型说明与假设'!$B$8)</f>
        <v/>
      </c>
      <c r="W165" s="6" t="b">
        <v>0</v>
      </c>
    </row>
    <row r="166">
      <c r="A166" s="6" t="inlineStr">
        <is>
          <t>E322</t>
        </is>
      </c>
      <c r="B166" s="6" t="n">
        <v>0.1068278980962532</v>
      </c>
      <c r="C166" s="6" t="inlineStr">
        <is>
          <t>B</t>
        </is>
      </c>
      <c r="D166" s="6" t="n">
        <v>0.6818790815618381</v>
      </c>
      <c r="E166" s="6" t="n">
        <v>0.0978045152681844</v>
      </c>
      <c r="F166" s="6" t="n">
        <v>0.209639948768833</v>
      </c>
      <c r="G166" s="6" t="n">
        <v>165</v>
      </c>
      <c r="H166" s="6" t="n">
        <v>145</v>
      </c>
      <c r="I166" s="6" t="inlineStr">
        <is>
          <t>***装饰工程设计有限公司</t>
        </is>
      </c>
      <c r="J166" s="6" t="b">
        <v>0</v>
      </c>
      <c r="K166" s="6" t="n">
        <v>0</v>
      </c>
      <c r="L166" s="6" t="n">
        <v>0.1425</v>
      </c>
      <c r="M166" s="6" t="n">
        <v>0.8439092945622555</v>
      </c>
      <c r="N166" s="6" t="n">
        <v>0.005959587723035306</v>
      </c>
      <c r="O166" s="6" t="inlineStr"/>
      <c r="P166" s="6" t="n">
        <v>0</v>
      </c>
      <c r="Q166" s="6" t="n">
        <v>0</v>
      </c>
      <c r="R166" s="6" t="n">
        <v>0</v>
      </c>
      <c r="S166" s="6" t="n">
        <v>0</v>
      </c>
      <c r="T166" s="6" t="n">
        <v>0</v>
      </c>
      <c r="U166" s="6" t="n">
        <v>0</v>
      </c>
      <c r="V166" s="9">
        <f>K166*(1-M166)*((1-B166)*L166-B166*'模型说明与假设'!$B$7-'模型说明与假设'!$B$8)</f>
        <v/>
      </c>
      <c r="W166" s="6" t="b">
        <v>0</v>
      </c>
    </row>
    <row r="167">
      <c r="A167" s="6" t="inlineStr">
        <is>
          <t>E247</t>
        </is>
      </c>
      <c r="B167" s="6" t="n">
        <v>0.107024228170221</v>
      </c>
      <c r="C167" s="6" t="inlineStr">
        <is>
          <t>B</t>
        </is>
      </c>
      <c r="D167" s="6" t="n">
        <v>0.7002557475849602</v>
      </c>
      <c r="E167" s="6" t="n">
        <v>0.09383791634397931</v>
      </c>
      <c r="F167" s="6" t="n">
        <v>0.2192220192108383</v>
      </c>
      <c r="G167" s="6" t="n">
        <v>166</v>
      </c>
      <c r="H167" s="6" t="n">
        <v>113</v>
      </c>
      <c r="I167" s="6" t="inlineStr">
        <is>
          <t>***石化有限公司</t>
        </is>
      </c>
      <c r="J167" s="6" t="b">
        <v>0</v>
      </c>
      <c r="K167" s="6" t="n">
        <v>0</v>
      </c>
      <c r="L167" s="6" t="n">
        <v>0.1425</v>
      </c>
      <c r="M167" s="6" t="n">
        <v>0.8439092945622555</v>
      </c>
      <c r="N167" s="6" t="n">
        <v>0.005936833587975178</v>
      </c>
      <c r="O167" s="6" t="inlineStr"/>
      <c r="P167" s="6" t="n">
        <v>0</v>
      </c>
      <c r="Q167" s="6" t="n">
        <v>0</v>
      </c>
      <c r="R167" s="6" t="n">
        <v>0</v>
      </c>
      <c r="S167" s="6" t="n">
        <v>0</v>
      </c>
      <c r="T167" s="6" t="n">
        <v>0</v>
      </c>
      <c r="U167" s="6" t="n">
        <v>0</v>
      </c>
      <c r="V167" s="9">
        <f>K167*(1-M167)*((1-B167)*L167-B167*'模型说明与假设'!$B$7-'模型说明与假设'!$B$8)</f>
        <v/>
      </c>
      <c r="W167" s="6" t="b">
        <v>0</v>
      </c>
    </row>
    <row r="168">
      <c r="A168" s="6" t="inlineStr">
        <is>
          <t>E305</t>
        </is>
      </c>
      <c r="B168" s="6" t="n">
        <v>0.107049958923362</v>
      </c>
      <c r="C168" s="6" t="inlineStr">
        <is>
          <t>B</t>
        </is>
      </c>
      <c r="D168" s="6" t="n">
        <v>0.6473580933102445</v>
      </c>
      <c r="E168" s="6" t="n">
        <v>0.115622999698419</v>
      </c>
      <c r="F168" s="6" t="n">
        <v>0.212253516124021</v>
      </c>
      <c r="G168" s="6" t="n">
        <v>167</v>
      </c>
      <c r="H168" s="6" t="n">
        <v>181</v>
      </c>
      <c r="I168" s="6" t="inlineStr">
        <is>
          <t>***劳务有限公司</t>
        </is>
      </c>
      <c r="J168" s="6" t="b">
        <v>0</v>
      </c>
      <c r="K168" s="6" t="n">
        <v>0</v>
      </c>
      <c r="L168" s="6" t="n">
        <v>0.1425</v>
      </c>
      <c r="M168" s="6" t="n">
        <v>0.8439092945622555</v>
      </c>
      <c r="N168" s="6" t="n">
        <v>0.005933851461903841</v>
      </c>
      <c r="O168" s="6" t="inlineStr"/>
      <c r="P168" s="6" t="n">
        <v>0</v>
      </c>
      <c r="Q168" s="6" t="n">
        <v>0</v>
      </c>
      <c r="R168" s="6" t="n">
        <v>0</v>
      </c>
      <c r="S168" s="6" t="n">
        <v>0</v>
      </c>
      <c r="T168" s="6" t="n">
        <v>0</v>
      </c>
      <c r="U168" s="6" t="n">
        <v>0</v>
      </c>
      <c r="V168" s="9">
        <f>K168*(1-M168)*((1-B168)*L168-B168*'模型说明与假设'!$B$7-'模型说明与假设'!$B$8)</f>
        <v/>
      </c>
      <c r="W168" s="6" t="b">
        <v>0</v>
      </c>
    </row>
    <row r="169">
      <c r="A169" s="6" t="inlineStr">
        <is>
          <t>E274</t>
        </is>
      </c>
      <c r="B169" s="6" t="n">
        <v>0.1077046326917194</v>
      </c>
      <c r="C169" s="6" t="inlineStr">
        <is>
          <t>B</t>
        </is>
      </c>
      <c r="D169" s="6" t="n">
        <v>0.672780634906239</v>
      </c>
      <c r="E169" s="6" t="n">
        <v>0.1037372295582863</v>
      </c>
      <c r="F169" s="6" t="n">
        <v>0.2132893300665133</v>
      </c>
      <c r="G169" s="6" t="n">
        <v>168</v>
      </c>
      <c r="H169" s="6" t="n">
        <v>154</v>
      </c>
      <c r="I169" s="6" t="inlineStr">
        <is>
          <t>***建筑劳务有限公司</t>
        </is>
      </c>
      <c r="J169" s="6" t="b">
        <v>0</v>
      </c>
      <c r="K169" s="6" t="n">
        <v>0</v>
      </c>
      <c r="L169" s="6" t="n">
        <v>0.1425</v>
      </c>
      <c r="M169" s="6" t="n">
        <v>0.8439092945622555</v>
      </c>
      <c r="N169" s="6" t="n">
        <v>0.005857976507830475</v>
      </c>
      <c r="O169" s="6" t="inlineStr"/>
      <c r="P169" s="6" t="n">
        <v>0</v>
      </c>
      <c r="Q169" s="6" t="n">
        <v>0</v>
      </c>
      <c r="R169" s="6" t="n">
        <v>0</v>
      </c>
      <c r="S169" s="6" t="n">
        <v>0</v>
      </c>
      <c r="T169" s="6" t="n">
        <v>0</v>
      </c>
      <c r="U169" s="6" t="n">
        <v>0</v>
      </c>
      <c r="V169" s="9">
        <f>K169*(1-M169)*((1-B169)*L169-B169*'模型说明与假设'!$B$7-'模型说明与假设'!$B$8)</f>
        <v/>
      </c>
      <c r="W169" s="6" t="b">
        <v>0</v>
      </c>
    </row>
    <row r="170">
      <c r="A170" s="6" t="inlineStr">
        <is>
          <t>E287</t>
        </is>
      </c>
      <c r="B170" s="6" t="n">
        <v>0.1092861382156753</v>
      </c>
      <c r="C170" s="6" t="inlineStr">
        <is>
          <t>B</t>
        </is>
      </c>
      <c r="D170" s="6" t="n">
        <v>0.6698556344255819</v>
      </c>
      <c r="E170" s="6" t="n">
        <v>0.1033289647069328</v>
      </c>
      <c r="F170" s="6" t="n">
        <v>0.2096521898469266</v>
      </c>
      <c r="G170" s="6" t="n">
        <v>169</v>
      </c>
      <c r="H170" s="6" t="n">
        <v>160</v>
      </c>
      <c r="I170" s="6" t="inlineStr">
        <is>
          <t>***鞋材有限公司</t>
        </is>
      </c>
      <c r="J170" s="6" t="b">
        <v>0</v>
      </c>
      <c r="K170" s="6" t="n">
        <v>0</v>
      </c>
      <c r="L170" s="6" t="n">
        <v>0.1425</v>
      </c>
      <c r="M170" s="6" t="n">
        <v>0.8439092945622555</v>
      </c>
      <c r="N170" s="6" t="n">
        <v>0.005674684210511165</v>
      </c>
      <c r="O170" s="6" t="inlineStr"/>
      <c r="P170" s="6" t="n">
        <v>0</v>
      </c>
      <c r="Q170" s="6" t="n">
        <v>0</v>
      </c>
      <c r="R170" s="6" t="n">
        <v>0</v>
      </c>
      <c r="S170" s="6" t="n">
        <v>0</v>
      </c>
      <c r="T170" s="6" t="n">
        <v>0</v>
      </c>
      <c r="U170" s="6" t="n">
        <v>0</v>
      </c>
      <c r="V170" s="9">
        <f>K170*(1-M170)*((1-B170)*L170-B170*'模型说明与假设'!$B$7-'模型说明与假设'!$B$8)</f>
        <v/>
      </c>
      <c r="W170" s="6" t="b">
        <v>0</v>
      </c>
    </row>
    <row r="171">
      <c r="A171" s="6" t="inlineStr">
        <is>
          <t>E285</t>
        </is>
      </c>
      <c r="B171" s="6" t="n">
        <v>0.1093521978370839</v>
      </c>
      <c r="C171" s="6" t="inlineStr">
        <is>
          <t>B</t>
        </is>
      </c>
      <c r="D171" s="6" t="n">
        <v>0.7046257112561259</v>
      </c>
      <c r="E171" s="6" t="n">
        <v>0.08963051658414406</v>
      </c>
      <c r="F171" s="6" t="n">
        <v>0.2138167366121718</v>
      </c>
      <c r="G171" s="6" t="n">
        <v>170</v>
      </c>
      <c r="H171" s="6" t="n">
        <v>107</v>
      </c>
      <c r="I171" s="6" t="inlineStr">
        <is>
          <t xml:space="preserve">个体经营E285 </t>
        </is>
      </c>
      <c r="J171" s="6" t="b">
        <v>0</v>
      </c>
      <c r="K171" s="6" t="n">
        <v>0</v>
      </c>
      <c r="L171" s="6" t="n">
        <v>0.1425</v>
      </c>
      <c r="M171" s="6" t="n">
        <v>0.8439092945622555</v>
      </c>
      <c r="N171" s="6" t="n">
        <v>0.005667028075528002</v>
      </c>
      <c r="O171" s="6" t="inlineStr"/>
      <c r="P171" s="6" t="n">
        <v>0</v>
      </c>
      <c r="Q171" s="6" t="n">
        <v>0</v>
      </c>
      <c r="R171" s="6" t="n">
        <v>0</v>
      </c>
      <c r="S171" s="6" t="n">
        <v>0</v>
      </c>
      <c r="T171" s="6" t="n">
        <v>0</v>
      </c>
      <c r="U171" s="6" t="n">
        <v>0</v>
      </c>
      <c r="V171" s="9">
        <f>K171*(1-M171)*((1-B171)*L171-B171*'模型说明与假设'!$B$7-'模型说明与假设'!$B$8)</f>
        <v/>
      </c>
      <c r="W171" s="6" t="b">
        <v>0</v>
      </c>
    </row>
    <row r="172">
      <c r="A172" s="6" t="inlineStr">
        <is>
          <t>E327</t>
        </is>
      </c>
      <c r="B172" s="6" t="n">
        <v>0.1099765011802115</v>
      </c>
      <c r="C172" s="6" t="inlineStr">
        <is>
          <t>B</t>
        </is>
      </c>
      <c r="D172" s="6" t="n">
        <v>0.6595577247646097</v>
      </c>
      <c r="E172" s="6" t="n">
        <v>0.1112863779727618</v>
      </c>
      <c r="F172" s="6" t="n">
        <v>0.2156012798418137</v>
      </c>
      <c r="G172" s="6" t="n">
        <v>171</v>
      </c>
      <c r="H172" s="6" t="n">
        <v>170</v>
      </c>
      <c r="I172" s="6" t="inlineStr">
        <is>
          <t xml:space="preserve">个体经营E327 </t>
        </is>
      </c>
      <c r="J172" s="6" t="b">
        <v>0</v>
      </c>
      <c r="K172" s="6" t="n">
        <v>0</v>
      </c>
      <c r="L172" s="6" t="n">
        <v>0.1425</v>
      </c>
      <c r="M172" s="6" t="n">
        <v>0.8439092945622555</v>
      </c>
      <c r="N172" s="6" t="n">
        <v>0.005594672973220315</v>
      </c>
      <c r="O172" s="6" t="inlineStr"/>
      <c r="P172" s="6" t="n">
        <v>0</v>
      </c>
      <c r="Q172" s="6" t="n">
        <v>0</v>
      </c>
      <c r="R172" s="6" t="n">
        <v>0</v>
      </c>
      <c r="S172" s="6" t="n">
        <v>0</v>
      </c>
      <c r="T172" s="6" t="n">
        <v>0</v>
      </c>
      <c r="U172" s="6" t="n">
        <v>0</v>
      </c>
      <c r="V172" s="9">
        <f>K172*(1-M172)*((1-B172)*L172-B172*'模型说明与假设'!$B$7-'模型说明与假设'!$B$8)</f>
        <v/>
      </c>
      <c r="W172" s="6" t="b">
        <v>0</v>
      </c>
    </row>
    <row r="173">
      <c r="A173" s="6" t="inlineStr">
        <is>
          <t>E304</t>
        </is>
      </c>
      <c r="B173" s="6" t="n">
        <v>0.1119741959446156</v>
      </c>
      <c r="C173" s="6" t="inlineStr">
        <is>
          <t>B</t>
        </is>
      </c>
      <c r="D173" s="6" t="n">
        <v>0.5460193490100778</v>
      </c>
      <c r="E173" s="6" t="n">
        <v>0.1524692283649532</v>
      </c>
      <c r="F173" s="6" t="n">
        <v>0.1833803899667712</v>
      </c>
      <c r="G173" s="6" t="n">
        <v>172</v>
      </c>
      <c r="H173" s="6" t="n">
        <v>263</v>
      </c>
      <c r="I173" s="6" t="inlineStr">
        <is>
          <t>***环保科技有限公司</t>
        </is>
      </c>
      <c r="J173" s="6" t="b">
        <v>0</v>
      </c>
      <c r="K173" s="6" t="n">
        <v>0</v>
      </c>
      <c r="L173" s="6" t="n">
        <v>0.1425</v>
      </c>
      <c r="M173" s="6" t="n">
        <v>0.8439092945622555</v>
      </c>
      <c r="N173" s="6" t="n">
        <v>0.005363145446339162</v>
      </c>
      <c r="O173" s="6" t="inlineStr"/>
      <c r="P173" s="6" t="n">
        <v>0</v>
      </c>
      <c r="Q173" s="6" t="n">
        <v>0</v>
      </c>
      <c r="R173" s="6" t="n">
        <v>0</v>
      </c>
      <c r="S173" s="6" t="n">
        <v>0</v>
      </c>
      <c r="T173" s="6" t="n">
        <v>0</v>
      </c>
      <c r="U173" s="6" t="n">
        <v>0</v>
      </c>
      <c r="V173" s="9">
        <f>K173*(1-M173)*((1-B173)*L173-B173*'模型说明与假设'!$B$7-'模型说明与假设'!$B$8)</f>
        <v/>
      </c>
      <c r="W173" s="6" t="b">
        <v>0</v>
      </c>
    </row>
    <row r="174">
      <c r="A174" s="6" t="inlineStr">
        <is>
          <t>E263</t>
        </is>
      </c>
      <c r="B174" s="6" t="n">
        <v>0.1128371318235624</v>
      </c>
      <c r="C174" s="6" t="inlineStr">
        <is>
          <t>B</t>
        </is>
      </c>
      <c r="D174" s="6" t="n">
        <v>0.6849893783498548</v>
      </c>
      <c r="E174" s="6" t="n">
        <v>0.09789855824021844</v>
      </c>
      <c r="F174" s="6" t="n">
        <v>0.2128800362318937</v>
      </c>
      <c r="G174" s="6" t="n">
        <v>173</v>
      </c>
      <c r="H174" s="6" t="n">
        <v>139</v>
      </c>
      <c r="I174" s="6" t="inlineStr">
        <is>
          <t>***通信工程有限公司</t>
        </is>
      </c>
      <c r="J174" s="6" t="b">
        <v>0</v>
      </c>
      <c r="K174" s="6" t="n">
        <v>0</v>
      </c>
      <c r="L174" s="6" t="n">
        <v>0.1425</v>
      </c>
      <c r="M174" s="6" t="n">
        <v>0.8439092945622555</v>
      </c>
      <c r="N174" s="6" t="n">
        <v>0.005263133465795591</v>
      </c>
      <c r="O174" s="6" t="inlineStr"/>
      <c r="P174" s="6" t="n">
        <v>0</v>
      </c>
      <c r="Q174" s="6" t="n">
        <v>0</v>
      </c>
      <c r="R174" s="6" t="n">
        <v>0</v>
      </c>
      <c r="S174" s="6" t="n">
        <v>0</v>
      </c>
      <c r="T174" s="6" t="n">
        <v>0</v>
      </c>
      <c r="U174" s="6" t="n">
        <v>0</v>
      </c>
      <c r="V174" s="9">
        <f>K174*(1-M174)*((1-B174)*L174-B174*'模型说明与假设'!$B$7-'模型说明与假设'!$B$8)</f>
        <v/>
      </c>
      <c r="W174" s="6" t="b">
        <v>0</v>
      </c>
    </row>
    <row r="175">
      <c r="A175" s="6" t="inlineStr">
        <is>
          <t>E158</t>
        </is>
      </c>
      <c r="B175" s="6" t="n">
        <v>0.1139033994882</v>
      </c>
      <c r="C175" s="6" t="inlineStr">
        <is>
          <t>B</t>
        </is>
      </c>
      <c r="D175" s="6" t="n">
        <v>0.687761376682015</v>
      </c>
      <c r="E175" s="6" t="n">
        <v>0.0972506065905097</v>
      </c>
      <c r="F175" s="6" t="n">
        <v>0.2142118433686976</v>
      </c>
      <c r="G175" s="6" t="n">
        <v>174</v>
      </c>
      <c r="H175" s="6" t="n">
        <v>135</v>
      </c>
      <c r="I175" s="6" t="inlineStr">
        <is>
          <t>***装饰工程有限公司</t>
        </is>
      </c>
      <c r="J175" s="6" t="b">
        <v>0</v>
      </c>
      <c r="K175" s="6" t="n">
        <v>0</v>
      </c>
      <c r="L175" s="6" t="n">
        <v>0.1425</v>
      </c>
      <c r="M175" s="6" t="n">
        <v>0.8439092945622555</v>
      </c>
      <c r="N175" s="6" t="n">
        <v>0.005139555870366237</v>
      </c>
      <c r="O175" s="6" t="inlineStr"/>
      <c r="P175" s="6" t="n">
        <v>0</v>
      </c>
      <c r="Q175" s="6" t="n">
        <v>0</v>
      </c>
      <c r="R175" s="6" t="n">
        <v>0</v>
      </c>
      <c r="S175" s="6" t="n">
        <v>0</v>
      </c>
      <c r="T175" s="6" t="n">
        <v>0</v>
      </c>
      <c r="U175" s="6" t="n">
        <v>0</v>
      </c>
      <c r="V175" s="9">
        <f>K175*(1-M175)*((1-B175)*L175-B175*'模型说明与假设'!$B$7-'模型说明与假设'!$B$8)</f>
        <v/>
      </c>
      <c r="W175" s="6" t="b">
        <v>0</v>
      </c>
    </row>
    <row r="176">
      <c r="A176" s="6" t="inlineStr">
        <is>
          <t>E248</t>
        </is>
      </c>
      <c r="B176" s="6" t="n">
        <v>0.1156500930847806</v>
      </c>
      <c r="C176" s="6" t="inlineStr">
        <is>
          <t>B</t>
        </is>
      </c>
      <c r="D176" s="6" t="n">
        <v>0.7079663653383911</v>
      </c>
      <c r="E176" s="6" t="n">
        <v>0.08801053795395591</v>
      </c>
      <c r="F176" s="6" t="n">
        <v>0.2133606998349284</v>
      </c>
      <c r="G176" s="6" t="n">
        <v>175</v>
      </c>
      <c r="H176" s="6" t="n">
        <v>102</v>
      </c>
      <c r="I176" s="6" t="inlineStr">
        <is>
          <t>***智能科技有限公司</t>
        </is>
      </c>
      <c r="J176" s="6" t="b">
        <v>0</v>
      </c>
      <c r="K176" s="6" t="n">
        <v>0</v>
      </c>
      <c r="L176" s="6" t="n">
        <v>0.1425</v>
      </c>
      <c r="M176" s="6" t="n">
        <v>0.8439092945622555</v>
      </c>
      <c r="N176" s="6" t="n">
        <v>0.0049371187133784</v>
      </c>
      <c r="O176" s="6" t="inlineStr"/>
      <c r="P176" s="6" t="n">
        <v>0</v>
      </c>
      <c r="Q176" s="6" t="n">
        <v>0</v>
      </c>
      <c r="R176" s="6" t="n">
        <v>0</v>
      </c>
      <c r="S176" s="6" t="n">
        <v>0</v>
      </c>
      <c r="T176" s="6" t="n">
        <v>0</v>
      </c>
      <c r="U176" s="6" t="n">
        <v>0</v>
      </c>
      <c r="V176" s="9">
        <f>K176*(1-M176)*((1-B176)*L176-B176*'模型说明与假设'!$B$7-'模型说明与假设'!$B$8)</f>
        <v/>
      </c>
      <c r="W176" s="6" t="b">
        <v>0</v>
      </c>
    </row>
    <row r="177">
      <c r="A177" s="6" t="inlineStr">
        <is>
          <t>E326</t>
        </is>
      </c>
      <c r="B177" s="6" t="n">
        <v>0.1171199500387962</v>
      </c>
      <c r="C177" s="6" t="inlineStr">
        <is>
          <t>B</t>
        </is>
      </c>
      <c r="D177" s="6" t="n">
        <v>0.6617430433103312</v>
      </c>
      <c r="E177" s="6" t="n">
        <v>0.1078963621035976</v>
      </c>
      <c r="F177" s="6" t="n">
        <v>0.2110811488381398</v>
      </c>
      <c r="G177" s="6" t="n">
        <v>176</v>
      </c>
      <c r="H177" s="6" t="n">
        <v>166</v>
      </c>
      <c r="I177" s="6" t="inlineStr">
        <is>
          <t>***包装材料有限公司</t>
        </is>
      </c>
      <c r="J177" s="6" t="b">
        <v>0</v>
      </c>
      <c r="K177" s="6" t="n">
        <v>0</v>
      </c>
      <c r="L177" s="6" t="n">
        <v>0.1425</v>
      </c>
      <c r="M177" s="6" t="n">
        <v>0.8439092945622555</v>
      </c>
      <c r="N177" s="6" t="n">
        <v>0.004766766189311078</v>
      </c>
      <c r="O177" s="6" t="inlineStr"/>
      <c r="P177" s="6" t="n">
        <v>0</v>
      </c>
      <c r="Q177" s="6" t="n">
        <v>0</v>
      </c>
      <c r="R177" s="6" t="n">
        <v>0</v>
      </c>
      <c r="S177" s="6" t="n">
        <v>0</v>
      </c>
      <c r="T177" s="6" t="n">
        <v>0</v>
      </c>
      <c r="U177" s="6" t="n">
        <v>0</v>
      </c>
      <c r="V177" s="9">
        <f>K177*(1-M177)*((1-B177)*L177-B177*'模型说明与假设'!$B$7-'模型说明与假设'!$B$8)</f>
        <v/>
      </c>
      <c r="W177" s="6" t="b">
        <v>0</v>
      </c>
    </row>
    <row r="178">
      <c r="A178" s="6" t="inlineStr">
        <is>
          <t>E333</t>
        </is>
      </c>
      <c r="B178" s="6" t="n">
        <v>0.1173697682028195</v>
      </c>
      <c r="C178" s="6" t="inlineStr">
        <is>
          <t>B</t>
        </is>
      </c>
      <c r="D178" s="6" t="n">
        <v>0.6767617332143957</v>
      </c>
      <c r="E178" s="6" t="n">
        <v>0.1040934249878356</v>
      </c>
      <c r="F178" s="6" t="n">
        <v>0.2179396870659365</v>
      </c>
      <c r="G178" s="6" t="n">
        <v>177</v>
      </c>
      <c r="H178" s="6" t="n">
        <v>151</v>
      </c>
      <c r="I178" s="6" t="inlineStr">
        <is>
          <t>***房地产营销策划有限公司</t>
        </is>
      </c>
      <c r="J178" s="6" t="b">
        <v>0</v>
      </c>
      <c r="K178" s="6" t="n">
        <v>0</v>
      </c>
      <c r="L178" s="6" t="n">
        <v>0.1425</v>
      </c>
      <c r="M178" s="6" t="n">
        <v>0.8439092945622555</v>
      </c>
      <c r="N178" s="6" t="n">
        <v>0.004737812926421803</v>
      </c>
      <c r="O178" s="6" t="inlineStr"/>
      <c r="P178" s="6" t="n">
        <v>0</v>
      </c>
      <c r="Q178" s="6" t="n">
        <v>0</v>
      </c>
      <c r="R178" s="6" t="n">
        <v>0</v>
      </c>
      <c r="S178" s="6" t="n">
        <v>0</v>
      </c>
      <c r="T178" s="6" t="n">
        <v>0</v>
      </c>
      <c r="U178" s="6" t="n">
        <v>0</v>
      </c>
      <c r="V178" s="9">
        <f>K178*(1-M178)*((1-B178)*L178-B178*'模型说明与假设'!$B$7-'模型说明与假设'!$B$8)</f>
        <v/>
      </c>
      <c r="W178" s="6" t="b">
        <v>0</v>
      </c>
    </row>
    <row r="179">
      <c r="A179" s="6" t="inlineStr">
        <is>
          <t>E316</t>
        </is>
      </c>
      <c r="B179" s="6" t="n">
        <v>0.1178199124523829</v>
      </c>
      <c r="C179" s="6" t="inlineStr">
        <is>
          <t>B</t>
        </is>
      </c>
      <c r="D179" s="6" t="n">
        <v>0.7062402774066275</v>
      </c>
      <c r="E179" s="6" t="n">
        <v>0.09086176327249391</v>
      </c>
      <c r="F179" s="6" t="n">
        <v>0.2184446401729724</v>
      </c>
      <c r="G179" s="6" t="n">
        <v>178</v>
      </c>
      <c r="H179" s="6" t="n">
        <v>104</v>
      </c>
      <c r="I179" s="6" t="inlineStr">
        <is>
          <t xml:space="preserve">个体经营E316 </t>
        </is>
      </c>
      <c r="J179" s="6" t="b">
        <v>0</v>
      </c>
      <c r="K179" s="6" t="n">
        <v>0</v>
      </c>
      <c r="L179" s="6" t="n">
        <v>0.1425</v>
      </c>
      <c r="M179" s="6" t="n">
        <v>0.8439092945622555</v>
      </c>
      <c r="N179" s="6" t="n">
        <v>0.004685642401325464</v>
      </c>
      <c r="O179" s="6" t="inlineStr"/>
      <c r="P179" s="6" t="n">
        <v>0</v>
      </c>
      <c r="Q179" s="6" t="n">
        <v>0</v>
      </c>
      <c r="R179" s="6" t="n">
        <v>0</v>
      </c>
      <c r="S179" s="6" t="n">
        <v>0</v>
      </c>
      <c r="T179" s="6" t="n">
        <v>0</v>
      </c>
      <c r="U179" s="6" t="n">
        <v>0</v>
      </c>
      <c r="V179" s="9">
        <f>K179*(1-M179)*((1-B179)*L179-B179*'模型说明与假设'!$B$7-'模型说明与假设'!$B$8)</f>
        <v/>
      </c>
      <c r="W179" s="6" t="b">
        <v>0</v>
      </c>
    </row>
    <row r="180">
      <c r="A180" s="6" t="inlineStr">
        <is>
          <t>E341</t>
        </is>
      </c>
      <c r="B180" s="6" t="n">
        <v>0.1184324711623615</v>
      </c>
      <c r="C180" s="6" t="inlineStr">
        <is>
          <t>B</t>
        </is>
      </c>
      <c r="D180" s="6" t="n">
        <v>0.6457207556144445</v>
      </c>
      <c r="E180" s="6" t="n">
        <v>0.1152591837406015</v>
      </c>
      <c r="F180" s="6" t="n">
        <v>0.210075098657176</v>
      </c>
      <c r="G180" s="6" t="n">
        <v>179</v>
      </c>
      <c r="H180" s="6" t="n">
        <v>182</v>
      </c>
      <c r="I180" s="6" t="inlineStr">
        <is>
          <t>***纺织品有限公司</t>
        </is>
      </c>
      <c r="J180" s="6" t="b">
        <v>0</v>
      </c>
      <c r="K180" s="6" t="n">
        <v>0</v>
      </c>
      <c r="L180" s="6" t="n">
        <v>0.1425</v>
      </c>
      <c r="M180" s="6" t="n">
        <v>0.8439092945622555</v>
      </c>
      <c r="N180" s="6" t="n">
        <v>0.004614648470862234</v>
      </c>
      <c r="O180" s="6" t="inlineStr"/>
      <c r="P180" s="6" t="n">
        <v>0</v>
      </c>
      <c r="Q180" s="6" t="n">
        <v>0</v>
      </c>
      <c r="R180" s="6" t="n">
        <v>0</v>
      </c>
      <c r="S180" s="6" t="n">
        <v>0</v>
      </c>
      <c r="T180" s="6" t="n">
        <v>0</v>
      </c>
      <c r="U180" s="6" t="n">
        <v>0</v>
      </c>
      <c r="V180" s="9">
        <f>K180*(1-M180)*((1-B180)*L180-B180*'模型说明与假设'!$B$7-'模型说明与假设'!$B$8)</f>
        <v/>
      </c>
      <c r="W180" s="6" t="b">
        <v>0</v>
      </c>
    </row>
    <row r="181">
      <c r="A181" s="6" t="inlineStr">
        <is>
          <t>E278</t>
        </is>
      </c>
      <c r="B181" s="6" t="n">
        <v>0.1203132116013462</v>
      </c>
      <c r="C181" s="6" t="inlineStr">
        <is>
          <t>B</t>
        </is>
      </c>
      <c r="D181" s="6" t="n">
        <v>0.6822988233838198</v>
      </c>
      <c r="E181" s="6" t="n">
        <v>0.0970177215475953</v>
      </c>
      <c r="F181" s="6" t="n">
        <v>0.2083564120358126</v>
      </c>
      <c r="G181" s="6" t="n">
        <v>180</v>
      </c>
      <c r="H181" s="6" t="n">
        <v>144</v>
      </c>
      <c r="I181" s="6" t="inlineStr">
        <is>
          <t>***贸易有限公司</t>
        </is>
      </c>
      <c r="J181" s="6" t="b">
        <v>0</v>
      </c>
      <c r="K181" s="6" t="n">
        <v>0</v>
      </c>
      <c r="L181" s="6" t="n">
        <v>0.1425</v>
      </c>
      <c r="M181" s="6" t="n">
        <v>0.8439092945622555</v>
      </c>
      <c r="N181" s="6" t="n">
        <v>0.004396675640226427</v>
      </c>
      <c r="O181" s="6" t="inlineStr"/>
      <c r="P181" s="6" t="n">
        <v>0</v>
      </c>
      <c r="Q181" s="6" t="n">
        <v>0</v>
      </c>
      <c r="R181" s="6" t="n">
        <v>0</v>
      </c>
      <c r="S181" s="6" t="n">
        <v>0</v>
      </c>
      <c r="T181" s="6" t="n">
        <v>0</v>
      </c>
      <c r="U181" s="6" t="n">
        <v>0</v>
      </c>
      <c r="V181" s="9">
        <f>K181*(1-M181)*((1-B181)*L181-B181*'模型说明与假设'!$B$7-'模型说明与假设'!$B$8)</f>
        <v/>
      </c>
      <c r="W181" s="6" t="b">
        <v>0</v>
      </c>
    </row>
    <row r="182">
      <c r="A182" s="6" t="inlineStr">
        <is>
          <t>E271</t>
        </is>
      </c>
      <c r="B182" s="6" t="n">
        <v>0.1204649124730087</v>
      </c>
      <c r="C182" s="6" t="inlineStr">
        <is>
          <t>B</t>
        </is>
      </c>
      <c r="D182" s="6" t="n">
        <v>0.6796818103231429</v>
      </c>
      <c r="E182" s="6" t="n">
        <v>0.09798012436881529</v>
      </c>
      <c r="F182" s="6" t="n">
        <v>0.2079036110121179</v>
      </c>
      <c r="G182" s="6" t="n">
        <v>181</v>
      </c>
      <c r="H182" s="6" t="n">
        <v>146</v>
      </c>
      <c r="I182" s="6" t="inlineStr">
        <is>
          <t>***科技有限公司</t>
        </is>
      </c>
      <c r="J182" s="6" t="b">
        <v>0</v>
      </c>
      <c r="K182" s="6" t="n">
        <v>0</v>
      </c>
      <c r="L182" s="6" t="n">
        <v>0.1425</v>
      </c>
      <c r="M182" s="6" t="n">
        <v>0.8439092945622555</v>
      </c>
      <c r="N182" s="6" t="n">
        <v>0.00437909391139198</v>
      </c>
      <c r="O182" s="6" t="inlineStr"/>
      <c r="P182" s="6" t="n">
        <v>0</v>
      </c>
      <c r="Q182" s="6" t="n">
        <v>0</v>
      </c>
      <c r="R182" s="6" t="n">
        <v>0</v>
      </c>
      <c r="S182" s="6" t="n">
        <v>0</v>
      </c>
      <c r="T182" s="6" t="n">
        <v>0</v>
      </c>
      <c r="U182" s="6" t="n">
        <v>0</v>
      </c>
      <c r="V182" s="9">
        <f>K182*(1-M182)*((1-B182)*L182-B182*'模型说明与假设'!$B$7-'模型说明与假设'!$B$8)</f>
        <v/>
      </c>
      <c r="W182" s="6" t="b">
        <v>0</v>
      </c>
    </row>
    <row r="183">
      <c r="A183" s="6" t="inlineStr">
        <is>
          <t>E346</t>
        </is>
      </c>
      <c r="B183" s="6" t="n">
        <v>0.1205055567897104</v>
      </c>
      <c r="C183" s="6" t="inlineStr">
        <is>
          <t>B</t>
        </is>
      </c>
      <c r="D183" s="6" t="n">
        <v>0.6585307055797446</v>
      </c>
      <c r="E183" s="6" t="n">
        <v>0.1059983723545023</v>
      </c>
      <c r="F183" s="6" t="n">
        <v>0.20442008718654</v>
      </c>
      <c r="G183" s="6" t="n">
        <v>182</v>
      </c>
      <c r="H183" s="6" t="n">
        <v>174</v>
      </c>
      <c r="I183" s="6" t="inlineStr">
        <is>
          <t xml:space="preserve">个体经营E346 </t>
        </is>
      </c>
      <c r="J183" s="6" t="b">
        <v>0</v>
      </c>
      <c r="K183" s="6" t="n">
        <v>0</v>
      </c>
      <c r="L183" s="6" t="n">
        <v>0.1425</v>
      </c>
      <c r="M183" s="6" t="n">
        <v>0.8439092945622555</v>
      </c>
      <c r="N183" s="6" t="n">
        <v>0.004374383342842972</v>
      </c>
      <c r="O183" s="6" t="inlineStr"/>
      <c r="P183" s="6" t="n">
        <v>0</v>
      </c>
      <c r="Q183" s="6" t="n">
        <v>0</v>
      </c>
      <c r="R183" s="6" t="n">
        <v>0</v>
      </c>
      <c r="S183" s="6" t="n">
        <v>0</v>
      </c>
      <c r="T183" s="6" t="n">
        <v>0</v>
      </c>
      <c r="U183" s="6" t="n">
        <v>0</v>
      </c>
      <c r="V183" s="9">
        <f>K183*(1-M183)*((1-B183)*L183-B183*'模型说明与假设'!$B$7-'模型说明与假设'!$B$8)</f>
        <v/>
      </c>
      <c r="W183" s="6" t="b">
        <v>0</v>
      </c>
    </row>
    <row r="184">
      <c r="A184" s="6" t="inlineStr">
        <is>
          <t>E245</t>
        </is>
      </c>
      <c r="B184" s="6" t="n">
        <v>0.1205816916366796</v>
      </c>
      <c r="C184" s="6" t="inlineStr">
        <is>
          <t>B</t>
        </is>
      </c>
      <c r="D184" s="6" t="n">
        <v>0.7018886840471525</v>
      </c>
      <c r="E184" s="6" t="n">
        <v>0.09255665122056068</v>
      </c>
      <c r="F184" s="6" t="n">
        <v>0.2179201615254555</v>
      </c>
      <c r="G184" s="6" t="n">
        <v>183</v>
      </c>
      <c r="H184" s="6" t="n">
        <v>110</v>
      </c>
      <c r="I184" s="6" t="inlineStr">
        <is>
          <t>***建筑劳务有限公司</t>
        </is>
      </c>
      <c r="J184" s="6" t="b">
        <v>0</v>
      </c>
      <c r="K184" s="6" t="n">
        <v>0</v>
      </c>
      <c r="L184" s="6" t="n">
        <v>0.1425</v>
      </c>
      <c r="M184" s="6" t="n">
        <v>0.8439092945622555</v>
      </c>
      <c r="N184" s="6" t="n">
        <v>0.0043655595159289</v>
      </c>
      <c r="O184" s="6" t="inlineStr"/>
      <c r="P184" s="6" t="n">
        <v>0</v>
      </c>
      <c r="Q184" s="6" t="n">
        <v>0</v>
      </c>
      <c r="R184" s="6" t="n">
        <v>0</v>
      </c>
      <c r="S184" s="6" t="n">
        <v>0</v>
      </c>
      <c r="T184" s="6" t="n">
        <v>0</v>
      </c>
      <c r="U184" s="6" t="n">
        <v>0</v>
      </c>
      <c r="V184" s="9">
        <f>K184*(1-M184)*((1-B184)*L184-B184*'模型说明与假设'!$B$7-'模型说明与假设'!$B$8)</f>
        <v/>
      </c>
      <c r="W184" s="6" t="b">
        <v>0</v>
      </c>
    </row>
    <row r="185">
      <c r="A185" s="6" t="inlineStr">
        <is>
          <t>E393</t>
        </is>
      </c>
      <c r="B185" s="6" t="n">
        <v>0.1216600768405768</v>
      </c>
      <c r="C185" s="6" t="inlineStr">
        <is>
          <t>B</t>
        </is>
      </c>
      <c r="D185" s="6" t="n">
        <v>0.6344441430914103</v>
      </c>
      <c r="E185" s="6" t="n">
        <v>0.1205400478130424</v>
      </c>
      <c r="F185" s="6" t="n">
        <v>0.2092044920020711</v>
      </c>
      <c r="G185" s="6" t="n">
        <v>184</v>
      </c>
      <c r="H185" s="6" t="n">
        <v>193</v>
      </c>
      <c r="I185" s="6" t="inlineStr">
        <is>
          <t>***商贸有限责任公司</t>
        </is>
      </c>
      <c r="J185" s="6" t="b">
        <v>0</v>
      </c>
      <c r="K185" s="6" t="n">
        <v>0</v>
      </c>
      <c r="L185" s="6" t="n">
        <v>0.1425</v>
      </c>
      <c r="M185" s="6" t="n">
        <v>0.8439092945622555</v>
      </c>
      <c r="N185" s="6" t="n">
        <v>0.004240577529825517</v>
      </c>
      <c r="O185" s="6" t="inlineStr"/>
      <c r="P185" s="6" t="n">
        <v>0</v>
      </c>
      <c r="Q185" s="6" t="n">
        <v>0</v>
      </c>
      <c r="R185" s="6" t="n">
        <v>0</v>
      </c>
      <c r="S185" s="6" t="n">
        <v>0</v>
      </c>
      <c r="T185" s="6" t="n">
        <v>0</v>
      </c>
      <c r="U185" s="6" t="n">
        <v>0</v>
      </c>
      <c r="V185" s="9">
        <f>K185*(1-M185)*((1-B185)*L185-B185*'模型说明与假设'!$B$7-'模型说明与假设'!$B$8)</f>
        <v/>
      </c>
      <c r="W185" s="6" t="b">
        <v>0</v>
      </c>
    </row>
    <row r="186">
      <c r="A186" s="6" t="inlineStr">
        <is>
          <t>E339</t>
        </is>
      </c>
      <c r="B186" s="6" t="n">
        <v>0.1224402880047947</v>
      </c>
      <c r="C186" s="6" t="inlineStr">
        <is>
          <t>B</t>
        </is>
      </c>
      <c r="D186" s="6" t="n">
        <v>0.6429206929953006</v>
      </c>
      <c r="E186" s="6" t="n">
        <v>0.1157499251755908</v>
      </c>
      <c r="F186" s="6" t="n">
        <v>0.2084075460218859</v>
      </c>
      <c r="G186" s="6" t="n">
        <v>185</v>
      </c>
      <c r="H186" s="6" t="n">
        <v>185</v>
      </c>
      <c r="I186" s="6" t="inlineStr">
        <is>
          <t>***居益卫浴家俬厂</t>
        </is>
      </c>
      <c r="J186" s="6" t="b">
        <v>0</v>
      </c>
      <c r="K186" s="6" t="n">
        <v>0</v>
      </c>
      <c r="L186" s="6" t="n">
        <v>0.1425</v>
      </c>
      <c r="M186" s="6" t="n">
        <v>0.8439092945622555</v>
      </c>
      <c r="N186" s="6" t="n">
        <v>0.004150153124398238</v>
      </c>
      <c r="O186" s="6" t="inlineStr"/>
      <c r="P186" s="6" t="n">
        <v>0</v>
      </c>
      <c r="Q186" s="6" t="n">
        <v>0</v>
      </c>
      <c r="R186" s="6" t="n">
        <v>0</v>
      </c>
      <c r="S186" s="6" t="n">
        <v>0</v>
      </c>
      <c r="T186" s="6" t="n">
        <v>0</v>
      </c>
      <c r="U186" s="6" t="n">
        <v>0</v>
      </c>
      <c r="V186" s="9">
        <f>K186*(1-M186)*((1-B186)*L186-B186*'模型说明与假设'!$B$7-'模型说明与假设'!$B$8)</f>
        <v/>
      </c>
      <c r="W186" s="6" t="b">
        <v>0</v>
      </c>
    </row>
    <row r="187">
      <c r="A187" s="6" t="inlineStr">
        <is>
          <t>E309</t>
        </is>
      </c>
      <c r="B187" s="6" t="n">
        <v>0.1236834186094626</v>
      </c>
      <c r="C187" s="6" t="inlineStr">
        <is>
          <t>B</t>
        </is>
      </c>
      <c r="D187" s="6" t="n">
        <v>0.6771137877972409</v>
      </c>
      <c r="E187" s="6" t="n">
        <v>0.1002640540311532</v>
      </c>
      <c r="F187" s="6" t="n">
        <v>0.2102603667768544</v>
      </c>
      <c r="G187" s="6" t="n">
        <v>186</v>
      </c>
      <c r="H187" s="6" t="n">
        <v>150</v>
      </c>
      <c r="I187" s="6" t="inlineStr">
        <is>
          <t xml:space="preserve">个体经营E309 </t>
        </is>
      </c>
      <c r="J187" s="6" t="b">
        <v>0</v>
      </c>
      <c r="K187" s="6" t="n">
        <v>0</v>
      </c>
      <c r="L187" s="6" t="n">
        <v>0.1425</v>
      </c>
      <c r="M187" s="6" t="n">
        <v>0.8439092945622555</v>
      </c>
      <c r="N187" s="6" t="n">
        <v>0.0040060775831206</v>
      </c>
      <c r="O187" s="6" t="inlineStr"/>
      <c r="P187" s="6" t="n">
        <v>0</v>
      </c>
      <c r="Q187" s="6" t="n">
        <v>0</v>
      </c>
      <c r="R187" s="6" t="n">
        <v>0</v>
      </c>
      <c r="S187" s="6" t="n">
        <v>0</v>
      </c>
      <c r="T187" s="6" t="n">
        <v>0</v>
      </c>
      <c r="U187" s="6" t="n">
        <v>0</v>
      </c>
      <c r="V187" s="9">
        <f>K187*(1-M187)*((1-B187)*L187-B187*'模型说明与假设'!$B$7-'模型说明与假设'!$B$8)</f>
        <v/>
      </c>
      <c r="W187" s="6" t="b">
        <v>0</v>
      </c>
    </row>
    <row r="188">
      <c r="A188" s="6" t="inlineStr">
        <is>
          <t>E357</t>
        </is>
      </c>
      <c r="B188" s="6" t="n">
        <v>0.1242542666290524</v>
      </c>
      <c r="C188" s="6" t="inlineStr">
        <is>
          <t>B</t>
        </is>
      </c>
      <c r="D188" s="6" t="n">
        <v>0.6214732895968399</v>
      </c>
      <c r="E188" s="6" t="n">
        <v>0.1241025875025168</v>
      </c>
      <c r="F188" s="6" t="n">
        <v>0.2037542957550426</v>
      </c>
      <c r="G188" s="6" t="n">
        <v>187</v>
      </c>
      <c r="H188" s="6" t="n">
        <v>203</v>
      </c>
      <c r="I188" s="6" t="inlineStr">
        <is>
          <t>***家居经营部</t>
        </is>
      </c>
      <c r="J188" s="6" t="b">
        <v>0</v>
      </c>
      <c r="K188" s="6" t="n">
        <v>0</v>
      </c>
      <c r="L188" s="6" t="n">
        <v>0.1425</v>
      </c>
      <c r="M188" s="6" t="n">
        <v>0.8439092945622555</v>
      </c>
      <c r="N188" s="6" t="n">
        <v>0.003939917811089523</v>
      </c>
      <c r="O188" s="6" t="inlineStr"/>
      <c r="P188" s="6" t="n">
        <v>0</v>
      </c>
      <c r="Q188" s="6" t="n">
        <v>0</v>
      </c>
      <c r="R188" s="6" t="n">
        <v>0</v>
      </c>
      <c r="S188" s="6" t="n">
        <v>0</v>
      </c>
      <c r="T188" s="6" t="n">
        <v>0</v>
      </c>
      <c r="U188" s="6" t="n">
        <v>0</v>
      </c>
      <c r="V188" s="9">
        <f>K188*(1-M188)*((1-B188)*L188-B188*'模型说明与假设'!$B$7-'模型说明与假设'!$B$8)</f>
        <v/>
      </c>
      <c r="W188" s="6" t="b">
        <v>0</v>
      </c>
    </row>
    <row r="189">
      <c r="A189" s="6" t="inlineStr">
        <is>
          <t>E329</t>
        </is>
      </c>
      <c r="B189" s="6" t="n">
        <v>0.1246790383811467</v>
      </c>
      <c r="C189" s="6" t="inlineStr">
        <is>
          <t>B</t>
        </is>
      </c>
      <c r="D189" s="6" t="n">
        <v>0.6354525565934566</v>
      </c>
      <c r="E189" s="6" t="n">
        <v>0.1193816750854266</v>
      </c>
      <c r="F189" s="6" t="n">
        <v>0.2080974425017241</v>
      </c>
      <c r="G189" s="6" t="n">
        <v>188</v>
      </c>
      <c r="H189" s="6" t="n">
        <v>192</v>
      </c>
      <c r="I189" s="6" t="inlineStr">
        <is>
          <t>***园艺有限责任公司</t>
        </is>
      </c>
      <c r="J189" s="6" t="b">
        <v>0</v>
      </c>
      <c r="K189" s="6" t="n">
        <v>0</v>
      </c>
      <c r="L189" s="6" t="n">
        <v>0.1425</v>
      </c>
      <c r="M189" s="6" t="n">
        <v>0.8439092945622555</v>
      </c>
      <c r="N189" s="6" t="n">
        <v>0.003890687891181968</v>
      </c>
      <c r="O189" s="6" t="inlineStr"/>
      <c r="P189" s="6" t="n">
        <v>0</v>
      </c>
      <c r="Q189" s="6" t="n">
        <v>0</v>
      </c>
      <c r="R189" s="6" t="n">
        <v>0</v>
      </c>
      <c r="S189" s="6" t="n">
        <v>0</v>
      </c>
      <c r="T189" s="6" t="n">
        <v>0</v>
      </c>
      <c r="U189" s="6" t="n">
        <v>0</v>
      </c>
      <c r="V189" s="9">
        <f>K189*(1-M189)*((1-B189)*L189-B189*'模型说明与假设'!$B$7-'模型说明与假设'!$B$8)</f>
        <v/>
      </c>
      <c r="W189" s="6" t="b">
        <v>0</v>
      </c>
    </row>
    <row r="190">
      <c r="A190" s="6" t="inlineStr">
        <is>
          <t>E334</t>
        </is>
      </c>
      <c r="B190" s="6" t="n">
        <v>0.1248826610634042</v>
      </c>
      <c r="C190" s="6" t="inlineStr">
        <is>
          <t>B</t>
        </is>
      </c>
      <c r="D190" s="6" t="n">
        <v>0.6548290868384412</v>
      </c>
      <c r="E190" s="6" t="n">
        <v>0.1104513581364377</v>
      </c>
      <c r="F190" s="6" t="n">
        <v>0.2095389826624709</v>
      </c>
      <c r="G190" s="6" t="n">
        <v>189</v>
      </c>
      <c r="H190" s="6" t="n">
        <v>177</v>
      </c>
      <c r="I190" s="6" t="inlineStr">
        <is>
          <t>***机械科技有限公司</t>
        </is>
      </c>
      <c r="J190" s="6" t="b">
        <v>0</v>
      </c>
      <c r="K190" s="6" t="n">
        <v>0</v>
      </c>
      <c r="L190" s="6" t="n">
        <v>0.1425</v>
      </c>
      <c r="M190" s="6" t="n">
        <v>0.8439092945622555</v>
      </c>
      <c r="N190" s="6" t="n">
        <v>0.003867088562155317</v>
      </c>
      <c r="O190" s="6" t="inlineStr"/>
      <c r="P190" s="6" t="n">
        <v>0</v>
      </c>
      <c r="Q190" s="6" t="n">
        <v>0</v>
      </c>
      <c r="R190" s="6" t="n">
        <v>0</v>
      </c>
      <c r="S190" s="6" t="n">
        <v>0</v>
      </c>
      <c r="T190" s="6" t="n">
        <v>0</v>
      </c>
      <c r="U190" s="6" t="n">
        <v>0</v>
      </c>
      <c r="V190" s="9">
        <f>K190*(1-M190)*((1-B190)*L190-B190*'模型说明与假设'!$B$7-'模型说明与假设'!$B$8)</f>
        <v/>
      </c>
      <c r="W190" s="6" t="b">
        <v>0</v>
      </c>
    </row>
    <row r="191">
      <c r="A191" s="6" t="inlineStr">
        <is>
          <t>E314</t>
        </is>
      </c>
      <c r="B191" s="6" t="n">
        <v>0.125775363843122</v>
      </c>
      <c r="C191" s="6" t="inlineStr">
        <is>
          <t>B</t>
        </is>
      </c>
      <c r="D191" s="6" t="n">
        <v>0.6600362802648027</v>
      </c>
      <c r="E191" s="6" t="n">
        <v>0.1072553494668278</v>
      </c>
      <c r="F191" s="6" t="n">
        <v>0.2082352256756331</v>
      </c>
      <c r="G191" s="6" t="n">
        <v>190</v>
      </c>
      <c r="H191" s="6" t="n">
        <v>169</v>
      </c>
      <c r="I191" s="6" t="inlineStr">
        <is>
          <t>***房地产营销策划有限公司</t>
        </is>
      </c>
      <c r="J191" s="6" t="b">
        <v>0</v>
      </c>
      <c r="K191" s="6" t="n">
        <v>0</v>
      </c>
      <c r="L191" s="6" t="n">
        <v>0.1425</v>
      </c>
      <c r="M191" s="6" t="n">
        <v>0.8439092945622555</v>
      </c>
      <c r="N191" s="6" t="n">
        <v>0.003763626676730769</v>
      </c>
      <c r="O191" s="6" t="inlineStr"/>
      <c r="P191" s="6" t="n">
        <v>0</v>
      </c>
      <c r="Q191" s="6" t="n">
        <v>0</v>
      </c>
      <c r="R191" s="6" t="n">
        <v>0</v>
      </c>
      <c r="S191" s="6" t="n">
        <v>0</v>
      </c>
      <c r="T191" s="6" t="n">
        <v>0</v>
      </c>
      <c r="U191" s="6" t="n">
        <v>0</v>
      </c>
      <c r="V191" s="9">
        <f>K191*(1-M191)*((1-B191)*L191-B191*'模型说明与假设'!$B$7-'模型说明与假设'!$B$8)</f>
        <v/>
      </c>
      <c r="W191" s="6" t="b">
        <v>0</v>
      </c>
    </row>
    <row r="192">
      <c r="A192" s="6" t="inlineStr">
        <is>
          <t>E382</t>
        </is>
      </c>
      <c r="B192" s="6" t="n">
        <v>0.1259974658498889</v>
      </c>
      <c r="C192" s="6" t="inlineStr">
        <is>
          <t>B</t>
        </is>
      </c>
      <c r="D192" s="6" t="n">
        <v>0.6139804499644292</v>
      </c>
      <c r="E192" s="6" t="n">
        <v>0.128220178196475</v>
      </c>
      <c r="F192" s="6" t="n">
        <v>0.2039396261053014</v>
      </c>
      <c r="G192" s="6" t="n">
        <v>191</v>
      </c>
      <c r="H192" s="6" t="n">
        <v>211</v>
      </c>
      <c r="I192" s="6" t="inlineStr">
        <is>
          <t>***教育信息咨询有限公司***分公司</t>
        </is>
      </c>
      <c r="J192" s="6" t="b">
        <v>0</v>
      </c>
      <c r="K192" s="6" t="n">
        <v>0</v>
      </c>
      <c r="L192" s="6" t="n">
        <v>0.1425</v>
      </c>
      <c r="M192" s="6" t="n">
        <v>0.8439092945622555</v>
      </c>
      <c r="N192" s="6" t="n">
        <v>0.003737885642986103</v>
      </c>
      <c r="O192" s="6" t="inlineStr"/>
      <c r="P192" s="6" t="n">
        <v>0</v>
      </c>
      <c r="Q192" s="6" t="n">
        <v>0</v>
      </c>
      <c r="R192" s="6" t="n">
        <v>0</v>
      </c>
      <c r="S192" s="6" t="n">
        <v>0</v>
      </c>
      <c r="T192" s="6" t="n">
        <v>0</v>
      </c>
      <c r="U192" s="6" t="n">
        <v>0</v>
      </c>
      <c r="V192" s="9">
        <f>K192*(1-M192)*((1-B192)*L192-B192*'模型说明与假设'!$B$7-'模型说明与假设'!$B$8)</f>
        <v/>
      </c>
      <c r="W192" s="6" t="b">
        <v>0</v>
      </c>
    </row>
    <row r="193">
      <c r="A193" s="6" t="inlineStr">
        <is>
          <t>E387</t>
        </is>
      </c>
      <c r="B193" s="6" t="n">
        <v>0.1261563121441561</v>
      </c>
      <c r="C193" s="6" t="inlineStr">
        <is>
          <t>B</t>
        </is>
      </c>
      <c r="D193" s="6" t="n">
        <v>0.6081334004422163</v>
      </c>
      <c r="E193" s="6" t="n">
        <v>0.1363165973024028</v>
      </c>
      <c r="F193" s="6" t="n">
        <v>0.2115482053019384</v>
      </c>
      <c r="G193" s="6" t="n">
        <v>192</v>
      </c>
      <c r="H193" s="6" t="n">
        <v>217</v>
      </c>
      <c r="I193" s="6" t="inlineStr">
        <is>
          <t>***农副产品经营部</t>
        </is>
      </c>
      <c r="J193" s="6" t="b">
        <v>0</v>
      </c>
      <c r="K193" s="6" t="n">
        <v>0</v>
      </c>
      <c r="L193" s="6" t="n">
        <v>0.1425</v>
      </c>
      <c r="M193" s="6" t="n">
        <v>0.8439092945622555</v>
      </c>
      <c r="N193" s="6" t="n">
        <v>0.003719475778615802</v>
      </c>
      <c r="O193" s="6" t="inlineStr"/>
      <c r="P193" s="6" t="n">
        <v>0</v>
      </c>
      <c r="Q193" s="6" t="n">
        <v>0</v>
      </c>
      <c r="R193" s="6" t="n">
        <v>0</v>
      </c>
      <c r="S193" s="6" t="n">
        <v>0</v>
      </c>
      <c r="T193" s="6" t="n">
        <v>0</v>
      </c>
      <c r="U193" s="6" t="n">
        <v>0</v>
      </c>
      <c r="V193" s="9">
        <f>K193*(1-M193)*((1-B193)*L193-B193*'模型说明与假设'!$B$7-'模型说明与假设'!$B$8)</f>
        <v/>
      </c>
      <c r="W193" s="6" t="b">
        <v>0</v>
      </c>
    </row>
    <row r="194">
      <c r="A194" s="6" t="inlineStr">
        <is>
          <t>E239</t>
        </is>
      </c>
      <c r="B194" s="6" t="n">
        <v>0.1291797537265735</v>
      </c>
      <c r="C194" s="6" t="inlineStr">
        <is>
          <t>B</t>
        </is>
      </c>
      <c r="D194" s="6" t="n">
        <v>0.6704877599367474</v>
      </c>
      <c r="E194" s="6" t="n">
        <v>0.09769481853015566</v>
      </c>
      <c r="F194" s="6" t="n">
        <v>0.1987883060766945</v>
      </c>
      <c r="G194" s="6" t="n">
        <v>193</v>
      </c>
      <c r="H194" s="6" t="n">
        <v>158</v>
      </c>
      <c r="I194" s="6" t="inlineStr">
        <is>
          <t xml:space="preserve">个体经营E239 </t>
        </is>
      </c>
      <c r="J194" s="6" t="b">
        <v>0</v>
      </c>
      <c r="K194" s="6" t="n">
        <v>0</v>
      </c>
      <c r="L194" s="6" t="n">
        <v>0.1425</v>
      </c>
      <c r="M194" s="6" t="n">
        <v>0.8439092945622555</v>
      </c>
      <c r="N194" s="6" t="n">
        <v>0.003369066914999668</v>
      </c>
      <c r="O194" s="6" t="inlineStr"/>
      <c r="P194" s="6" t="n">
        <v>0</v>
      </c>
      <c r="Q194" s="6" t="n">
        <v>0</v>
      </c>
      <c r="R194" s="6" t="n">
        <v>0</v>
      </c>
      <c r="S194" s="6" t="n">
        <v>0</v>
      </c>
      <c r="T194" s="6" t="n">
        <v>0</v>
      </c>
      <c r="U194" s="6" t="n">
        <v>0</v>
      </c>
      <c r="V194" s="9">
        <f>K194*(1-M194)*((1-B194)*L194-B194*'模型说明与假设'!$B$7-'模型说明与假设'!$B$8)</f>
        <v/>
      </c>
      <c r="W194" s="6" t="b">
        <v>0</v>
      </c>
    </row>
    <row r="195">
      <c r="A195" s="6" t="inlineStr">
        <is>
          <t>E388</t>
        </is>
      </c>
      <c r="B195" s="6" t="n">
        <v>0.1335217157718546</v>
      </c>
      <c r="C195" s="6" t="inlineStr">
        <is>
          <t>B</t>
        </is>
      </c>
      <c r="D195" s="6" t="n">
        <v>0.6624529756020658</v>
      </c>
      <c r="E195" s="6" t="n">
        <v>0.1101772845145391</v>
      </c>
      <c r="F195" s="6" t="n">
        <v>0.2162284502451046</v>
      </c>
      <c r="G195" s="6" t="n">
        <v>194</v>
      </c>
      <c r="H195" s="6" t="n">
        <v>164</v>
      </c>
      <c r="I195" s="6" t="inlineStr">
        <is>
          <t>***商贸有限公司</t>
        </is>
      </c>
      <c r="J195" s="6" t="b">
        <v>0</v>
      </c>
      <c r="K195" s="6" t="n">
        <v>0</v>
      </c>
      <c r="L195" s="6" t="n">
        <v>0.1465</v>
      </c>
      <c r="M195" s="6" t="n">
        <v>0.868159535589987</v>
      </c>
      <c r="N195" s="6" t="n">
        <v>0.002877555141235919</v>
      </c>
      <c r="O195" s="6" t="inlineStr"/>
      <c r="P195" s="6" t="n">
        <v>0</v>
      </c>
      <c r="Q195" s="6" t="n">
        <v>0</v>
      </c>
      <c r="R195" s="6" t="n">
        <v>0</v>
      </c>
      <c r="S195" s="6" t="n">
        <v>0</v>
      </c>
      <c r="T195" s="6" t="n">
        <v>0</v>
      </c>
      <c r="U195" s="6" t="n">
        <v>0</v>
      </c>
      <c r="V195" s="9">
        <f>K195*(1-M195)*((1-B195)*L195-B195*'模型说明与假设'!$B$7-'模型说明与假设'!$B$8)</f>
        <v/>
      </c>
      <c r="W195" s="6" t="b">
        <v>0</v>
      </c>
    </row>
    <row r="196">
      <c r="A196" s="6" t="inlineStr">
        <is>
          <t>E215</t>
        </is>
      </c>
      <c r="B196" s="6" t="n">
        <v>0.1343832090117594</v>
      </c>
      <c r="C196" s="6" t="inlineStr">
        <is>
          <t>B</t>
        </is>
      </c>
      <c r="D196" s="6" t="n">
        <v>0.6734555796437245</v>
      </c>
      <c r="E196" s="6" t="n">
        <v>0.1043953561264461</v>
      </c>
      <c r="F196" s="6" t="n">
        <v>0.2153019028637574</v>
      </c>
      <c r="G196" s="6" t="n">
        <v>195</v>
      </c>
      <c r="H196" s="6" t="n">
        <v>153</v>
      </c>
      <c r="I196" s="6" t="inlineStr">
        <is>
          <t>***建筑工程有限公司</t>
        </is>
      </c>
      <c r="J196" s="6" t="b">
        <v>0</v>
      </c>
      <c r="K196" s="6" t="n">
        <v>0</v>
      </c>
      <c r="L196" s="6" t="n">
        <v>0.1465</v>
      </c>
      <c r="M196" s="6" t="n">
        <v>0.868159535589987</v>
      </c>
      <c r="N196" s="6" t="n">
        <v>0.002792767918450493</v>
      </c>
      <c r="O196" s="6" t="inlineStr"/>
      <c r="P196" s="6" t="n">
        <v>0</v>
      </c>
      <c r="Q196" s="6" t="n">
        <v>0</v>
      </c>
      <c r="R196" s="6" t="n">
        <v>0</v>
      </c>
      <c r="S196" s="6" t="n">
        <v>0</v>
      </c>
      <c r="T196" s="6" t="n">
        <v>0</v>
      </c>
      <c r="U196" s="6" t="n">
        <v>0</v>
      </c>
      <c r="V196" s="9">
        <f>K196*(1-M196)*((1-B196)*L196-B196*'模型说明与假设'!$B$7-'模型说明与假设'!$B$8)</f>
        <v/>
      </c>
      <c r="W196" s="6" t="b">
        <v>0</v>
      </c>
    </row>
    <row r="197">
      <c r="A197" s="6" t="inlineStr">
        <is>
          <t>E133</t>
        </is>
      </c>
      <c r="B197" s="6" t="n">
        <v>0.1344781139540116</v>
      </c>
      <c r="C197" s="6" t="inlineStr">
        <is>
          <t>B</t>
        </is>
      </c>
      <c r="D197" s="6" t="n">
        <v>0.6936280355516196</v>
      </c>
      <c r="E197" s="6" t="n">
        <v>0.09723162180320551</v>
      </c>
      <c r="F197" s="6" t="n">
        <v>0.2201329973069994</v>
      </c>
      <c r="G197" s="6" t="n">
        <v>196</v>
      </c>
      <c r="H197" s="6" t="n">
        <v>123</v>
      </c>
      <c r="I197" s="6" t="inlineStr">
        <is>
          <t xml:space="preserve">个体经营E133 </t>
        </is>
      </c>
      <c r="J197" s="6" t="b">
        <v>0</v>
      </c>
      <c r="K197" s="6" t="n">
        <v>0</v>
      </c>
      <c r="L197" s="6" t="n">
        <v>0.1465</v>
      </c>
      <c r="M197" s="6" t="n">
        <v>0.868159535589987</v>
      </c>
      <c r="N197" s="6" t="n">
        <v>0.002783427477795303</v>
      </c>
      <c r="O197" s="6" t="inlineStr"/>
      <c r="P197" s="6" t="n">
        <v>0</v>
      </c>
      <c r="Q197" s="6" t="n">
        <v>0</v>
      </c>
      <c r="R197" s="6" t="n">
        <v>0</v>
      </c>
      <c r="S197" s="6" t="n">
        <v>0</v>
      </c>
      <c r="T197" s="6" t="n">
        <v>0</v>
      </c>
      <c r="U197" s="6" t="n">
        <v>0</v>
      </c>
      <c r="V197" s="9">
        <f>K197*(1-M197)*((1-B197)*L197-B197*'模型说明与假设'!$B$7-'模型说明与假设'!$B$8)</f>
        <v/>
      </c>
      <c r="W197" s="6" t="b">
        <v>0</v>
      </c>
    </row>
    <row r="198">
      <c r="A198" s="6" t="inlineStr">
        <is>
          <t>E374</t>
        </is>
      </c>
      <c r="B198" s="6" t="n">
        <v>0.1347013653836889</v>
      </c>
      <c r="C198" s="6" t="inlineStr">
        <is>
          <t>B</t>
        </is>
      </c>
      <c r="D198" s="6" t="n">
        <v>0.5946633647158391</v>
      </c>
      <c r="E198" s="6" t="n">
        <v>0.1386076155156957</v>
      </c>
      <c r="F198" s="6" t="n">
        <v>0.2033491765678152</v>
      </c>
      <c r="G198" s="6" t="n">
        <v>197</v>
      </c>
      <c r="H198" s="6" t="n">
        <v>228</v>
      </c>
      <c r="I198" s="6" t="inlineStr">
        <is>
          <t>***建材经营部</t>
        </is>
      </c>
      <c r="J198" s="6" t="b">
        <v>0</v>
      </c>
      <c r="K198" s="6" t="n">
        <v>0</v>
      </c>
      <c r="L198" s="6" t="n">
        <v>0.1465</v>
      </c>
      <c r="M198" s="6" t="n">
        <v>0.868159535589987</v>
      </c>
      <c r="N198" s="6" t="n">
        <v>0.002761455316171253</v>
      </c>
      <c r="O198" s="6" t="inlineStr"/>
      <c r="P198" s="6" t="n">
        <v>0</v>
      </c>
      <c r="Q198" s="6" t="n">
        <v>0</v>
      </c>
      <c r="R198" s="6" t="n">
        <v>0</v>
      </c>
      <c r="S198" s="6" t="n">
        <v>0</v>
      </c>
      <c r="T198" s="6" t="n">
        <v>0</v>
      </c>
      <c r="U198" s="6" t="n">
        <v>0</v>
      </c>
      <c r="V198" s="9">
        <f>K198*(1-M198)*((1-B198)*L198-B198*'模型说明与假设'!$B$7-'模型说明与假设'!$B$8)</f>
        <v/>
      </c>
      <c r="W198" s="6" t="b">
        <v>0</v>
      </c>
    </row>
    <row r="199">
      <c r="A199" s="6" t="inlineStr">
        <is>
          <t>E295</t>
        </is>
      </c>
      <c r="B199" s="6" t="n">
        <v>0.1347047552821777</v>
      </c>
      <c r="C199" s="6" t="inlineStr">
        <is>
          <t>B</t>
        </is>
      </c>
      <c r="D199" s="6" t="n">
        <v>0.6847862498151071</v>
      </c>
      <c r="E199" s="6" t="n">
        <v>0.09616152085745568</v>
      </c>
      <c r="F199" s="6" t="n">
        <v>0.2089061381550423</v>
      </c>
      <c r="G199" s="6" t="n">
        <v>198</v>
      </c>
      <c r="H199" s="6" t="n">
        <v>140</v>
      </c>
      <c r="I199" s="6" t="inlineStr">
        <is>
          <t>***电器设备制造有限公司</t>
        </is>
      </c>
      <c r="J199" s="6" t="b">
        <v>0</v>
      </c>
      <c r="K199" s="6" t="n">
        <v>0</v>
      </c>
      <c r="L199" s="6" t="n">
        <v>0.1465</v>
      </c>
      <c r="M199" s="6" t="n">
        <v>0.868159535589987</v>
      </c>
      <c r="N199" s="6" t="n">
        <v>0.002761121686068227</v>
      </c>
      <c r="O199" s="6" t="inlineStr"/>
      <c r="P199" s="6" t="n">
        <v>0</v>
      </c>
      <c r="Q199" s="6" t="n">
        <v>0</v>
      </c>
      <c r="R199" s="6" t="n">
        <v>0</v>
      </c>
      <c r="S199" s="6" t="n">
        <v>0</v>
      </c>
      <c r="T199" s="6" t="n">
        <v>0</v>
      </c>
      <c r="U199" s="6" t="n">
        <v>0</v>
      </c>
      <c r="V199" s="9">
        <f>K199*(1-M199)*((1-B199)*L199-B199*'模型说明与假设'!$B$7-'模型说明与假设'!$B$8)</f>
        <v/>
      </c>
      <c r="W199" s="6" t="b">
        <v>0</v>
      </c>
    </row>
    <row r="200">
      <c r="A200" s="6" t="inlineStr">
        <is>
          <t>E312</t>
        </is>
      </c>
      <c r="B200" s="6" t="n">
        <v>0.1347323063003059</v>
      </c>
      <c r="C200" s="6" t="inlineStr">
        <is>
          <t>B</t>
        </is>
      </c>
      <c r="D200" s="6" t="n">
        <v>0.5079199792568608</v>
      </c>
      <c r="E200" s="6" t="n">
        <v>0.1761778358442641</v>
      </c>
      <c r="F200" s="6" t="n">
        <v>0.1818489655247497</v>
      </c>
      <c r="G200" s="6" t="n">
        <v>199</v>
      </c>
      <c r="H200" s="6" t="n">
        <v>278</v>
      </c>
      <c r="I200" s="6" t="inlineStr">
        <is>
          <t>***家居用品有限公司</t>
        </is>
      </c>
      <c r="J200" s="6" t="b">
        <v>0</v>
      </c>
      <c r="K200" s="6" t="n">
        <v>0</v>
      </c>
      <c r="L200" s="6" t="n">
        <v>0.1465</v>
      </c>
      <c r="M200" s="6" t="n">
        <v>0.868159535589987</v>
      </c>
      <c r="N200" s="6" t="n">
        <v>0.002758410144986067</v>
      </c>
      <c r="O200" s="6" t="inlineStr"/>
      <c r="P200" s="6" t="n">
        <v>0</v>
      </c>
      <c r="Q200" s="6" t="n">
        <v>0</v>
      </c>
      <c r="R200" s="6" t="n">
        <v>0</v>
      </c>
      <c r="S200" s="6" t="n">
        <v>0</v>
      </c>
      <c r="T200" s="6" t="n">
        <v>0</v>
      </c>
      <c r="U200" s="6" t="n">
        <v>0</v>
      </c>
      <c r="V200" s="9">
        <f>K200*(1-M200)*((1-B200)*L200-B200*'模型说明与假设'!$B$7-'模型说明与假设'!$B$8)</f>
        <v/>
      </c>
      <c r="W200" s="6" t="b">
        <v>0</v>
      </c>
    </row>
    <row r="201">
      <c r="A201" s="6" t="inlineStr">
        <is>
          <t>E358</t>
        </is>
      </c>
      <c r="B201" s="6" t="n">
        <v>0.1347581191082588</v>
      </c>
      <c r="C201" s="6" t="inlineStr">
        <is>
          <t>B</t>
        </is>
      </c>
      <c r="D201" s="6" t="n">
        <v>0.606249039249057</v>
      </c>
      <c r="E201" s="6" t="n">
        <v>0.1314812940450867</v>
      </c>
      <c r="F201" s="6" t="n">
        <v>0.2024386379706521</v>
      </c>
      <c r="G201" s="6" t="n">
        <v>200</v>
      </c>
      <c r="H201" s="6" t="n">
        <v>218</v>
      </c>
      <c r="I201" s="6" t="inlineStr">
        <is>
          <t>***五金经营部</t>
        </is>
      </c>
      <c r="J201" s="6" t="b">
        <v>0</v>
      </c>
      <c r="K201" s="6" t="n">
        <v>0</v>
      </c>
      <c r="L201" s="6" t="n">
        <v>0.1465</v>
      </c>
      <c r="M201" s="6" t="n">
        <v>0.868159535589987</v>
      </c>
      <c r="N201" s="6" t="n">
        <v>0.002755869676648945</v>
      </c>
      <c r="O201" s="6" t="inlineStr"/>
      <c r="P201" s="6" t="n">
        <v>0</v>
      </c>
      <c r="Q201" s="6" t="n">
        <v>0</v>
      </c>
      <c r="R201" s="6" t="n">
        <v>0</v>
      </c>
      <c r="S201" s="6" t="n">
        <v>0</v>
      </c>
      <c r="T201" s="6" t="n">
        <v>0</v>
      </c>
      <c r="U201" s="6" t="n">
        <v>0</v>
      </c>
      <c r="V201" s="9">
        <f>K201*(1-M201)*((1-B201)*L201-B201*'模型说明与假设'!$B$7-'模型说明与假设'!$B$8)</f>
        <v/>
      </c>
      <c r="W201" s="6" t="b">
        <v>0</v>
      </c>
    </row>
    <row r="202">
      <c r="A202" s="6" t="inlineStr">
        <is>
          <t>E210</t>
        </is>
      </c>
      <c r="B202" s="6" t="n">
        <v>0.135080909121644</v>
      </c>
      <c r="C202" s="6" t="inlineStr">
        <is>
          <t>B</t>
        </is>
      </c>
      <c r="D202" s="6" t="n">
        <v>0.6825610906572536</v>
      </c>
      <c r="E202" s="6" t="n">
        <v>0.100814475911443</v>
      </c>
      <c r="F202" s="6" t="n">
        <v>0.2167725398711471</v>
      </c>
      <c r="G202" s="6" t="n">
        <v>201</v>
      </c>
      <c r="H202" s="6" t="n">
        <v>143</v>
      </c>
      <c r="I202" s="6" t="inlineStr">
        <is>
          <t>***建筑工程有限公司</t>
        </is>
      </c>
      <c r="J202" s="6" t="b">
        <v>0</v>
      </c>
      <c r="K202" s="6" t="n">
        <v>0</v>
      </c>
      <c r="L202" s="6" t="n">
        <v>0.1465</v>
      </c>
      <c r="M202" s="6" t="n">
        <v>0.868159535589987</v>
      </c>
      <c r="N202" s="6" t="n">
        <v>0.002724101036443679</v>
      </c>
      <c r="O202" s="6" t="inlineStr"/>
      <c r="P202" s="6" t="n">
        <v>0</v>
      </c>
      <c r="Q202" s="6" t="n">
        <v>0</v>
      </c>
      <c r="R202" s="6" t="n">
        <v>0</v>
      </c>
      <c r="S202" s="6" t="n">
        <v>0</v>
      </c>
      <c r="T202" s="6" t="n">
        <v>0</v>
      </c>
      <c r="U202" s="6" t="n">
        <v>0</v>
      </c>
      <c r="V202" s="9">
        <f>K202*(1-M202)*((1-B202)*L202-B202*'模型说明与假设'!$B$7-'模型说明与假设'!$B$8)</f>
        <v/>
      </c>
      <c r="W202" s="6" t="b">
        <v>0</v>
      </c>
    </row>
    <row r="203">
      <c r="A203" s="6" t="inlineStr">
        <is>
          <t>E269</t>
        </is>
      </c>
      <c r="B203" s="6" t="n">
        <v>0.1356520987029065</v>
      </c>
      <c r="C203" s="6" t="inlineStr">
        <is>
          <t>B</t>
        </is>
      </c>
      <c r="D203" s="6" t="n">
        <v>0.6561048885566577</v>
      </c>
      <c r="E203" s="6" t="n">
        <v>0.1135195460668665</v>
      </c>
      <c r="F203" s="6" t="n">
        <v>0.2165797844831379</v>
      </c>
      <c r="G203" s="6" t="n">
        <v>202</v>
      </c>
      <c r="H203" s="6" t="n">
        <v>176</v>
      </c>
      <c r="I203" s="6" t="inlineStr">
        <is>
          <t>***节能服务有限公司</t>
        </is>
      </c>
      <c r="J203" s="6" t="b">
        <v>0</v>
      </c>
      <c r="K203" s="6" t="n">
        <v>0</v>
      </c>
      <c r="L203" s="6" t="n">
        <v>0.1465</v>
      </c>
      <c r="M203" s="6" t="n">
        <v>0.868159535589987</v>
      </c>
      <c r="N203" s="6" t="n">
        <v>0.002667885182347634</v>
      </c>
      <c r="O203" s="6" t="inlineStr"/>
      <c r="P203" s="6" t="n">
        <v>0</v>
      </c>
      <c r="Q203" s="6" t="n">
        <v>0</v>
      </c>
      <c r="R203" s="6" t="n">
        <v>0</v>
      </c>
      <c r="S203" s="6" t="n">
        <v>0</v>
      </c>
      <c r="T203" s="6" t="n">
        <v>0</v>
      </c>
      <c r="U203" s="6" t="n">
        <v>0</v>
      </c>
      <c r="V203" s="9">
        <f>K203*(1-M203)*((1-B203)*L203-B203*'模型说明与假设'!$B$7-'模型说明与假设'!$B$8)</f>
        <v/>
      </c>
      <c r="W203" s="6" t="b">
        <v>0</v>
      </c>
    </row>
    <row r="204">
      <c r="A204" s="6" t="inlineStr">
        <is>
          <t>E288</t>
        </is>
      </c>
      <c r="B204" s="6" t="n">
        <v>0.1366803572355055</v>
      </c>
      <c r="C204" s="6" t="inlineStr">
        <is>
          <t>B</t>
        </is>
      </c>
      <c r="D204" s="6" t="n">
        <v>0.6791583565482102</v>
      </c>
      <c r="E204" s="6" t="n">
        <v>0.09963207594043276</v>
      </c>
      <c r="F204" s="6" t="n">
        <v>0.2109014161229304</v>
      </c>
      <c r="G204" s="6" t="n">
        <v>203</v>
      </c>
      <c r="H204" s="6" t="n">
        <v>148</v>
      </c>
      <c r="I204" s="6" t="inlineStr">
        <is>
          <t xml:space="preserve">个体经营E288 </t>
        </is>
      </c>
      <c r="J204" s="6" t="b">
        <v>0</v>
      </c>
      <c r="K204" s="6" t="n">
        <v>0</v>
      </c>
      <c r="L204" s="6" t="n">
        <v>0.15</v>
      </c>
      <c r="M204" s="6" t="n">
        <v>0.885864918999995</v>
      </c>
      <c r="N204" s="6" t="n">
        <v>0.002566867391862595</v>
      </c>
      <c r="O204" s="6" t="inlineStr"/>
      <c r="P204" s="6" t="n">
        <v>0</v>
      </c>
      <c r="Q204" s="6" t="n">
        <v>0</v>
      </c>
      <c r="R204" s="6" t="n">
        <v>0</v>
      </c>
      <c r="S204" s="6" t="n">
        <v>0</v>
      </c>
      <c r="T204" s="6" t="n">
        <v>0</v>
      </c>
      <c r="U204" s="6" t="n">
        <v>0</v>
      </c>
      <c r="V204" s="9">
        <f>K204*(1-M204)*((1-B204)*L204-B204*'模型说明与假设'!$B$7-'模型说明与假设'!$B$8)</f>
        <v/>
      </c>
      <c r="W204" s="6" t="b">
        <v>0</v>
      </c>
    </row>
    <row r="205">
      <c r="A205" s="6" t="inlineStr">
        <is>
          <t>E317</t>
        </is>
      </c>
      <c r="B205" s="6" t="n">
        <v>0.1395073084114468</v>
      </c>
      <c r="C205" s="6" t="inlineStr">
        <is>
          <t>B</t>
        </is>
      </c>
      <c r="D205" s="6" t="n">
        <v>0.7035232718310852</v>
      </c>
      <c r="E205" s="6" t="n">
        <v>0.09113379360536582</v>
      </c>
      <c r="F205" s="6" t="n">
        <v>0.2162555727311489</v>
      </c>
      <c r="G205" s="6" t="n">
        <v>204</v>
      </c>
      <c r="H205" s="6" t="n">
        <v>108</v>
      </c>
      <c r="I205" s="6" t="inlineStr">
        <is>
          <t>***科技有限公司</t>
        </is>
      </c>
      <c r="J205" s="6" t="b">
        <v>0</v>
      </c>
      <c r="K205" s="6" t="n">
        <v>0</v>
      </c>
      <c r="L205" s="6" t="n">
        <v>0.15</v>
      </c>
      <c r="M205" s="6" t="n">
        <v>0.885864918999995</v>
      </c>
      <c r="N205" s="6" t="n">
        <v>0.002324876665775752</v>
      </c>
      <c r="O205" s="6" t="inlineStr"/>
      <c r="P205" s="6" t="n">
        <v>0</v>
      </c>
      <c r="Q205" s="6" t="n">
        <v>0</v>
      </c>
      <c r="R205" s="6" t="n">
        <v>0</v>
      </c>
      <c r="S205" s="6" t="n">
        <v>0</v>
      </c>
      <c r="T205" s="6" t="n">
        <v>0</v>
      </c>
      <c r="U205" s="6" t="n">
        <v>0</v>
      </c>
      <c r="V205" s="9">
        <f>K205*(1-M205)*((1-B205)*L205-B205*'模型说明与假设'!$B$7-'模型说明与假设'!$B$8)</f>
        <v/>
      </c>
      <c r="W205" s="6" t="b">
        <v>0</v>
      </c>
    </row>
    <row r="206">
      <c r="A206" s="6" t="inlineStr">
        <is>
          <t>E219</t>
        </is>
      </c>
      <c r="B206" s="6" t="n">
        <v>0.1395605669282572</v>
      </c>
      <c r="C206" s="6" t="inlineStr">
        <is>
          <t>B</t>
        </is>
      </c>
      <c r="D206" s="6" t="n">
        <v>0.5849851732463058</v>
      </c>
      <c r="E206" s="6" t="n">
        <v>0.1315653636953793</v>
      </c>
      <c r="F206" s="6" t="n">
        <v>0.1854482830808156</v>
      </c>
      <c r="G206" s="6" t="n">
        <v>205</v>
      </c>
      <c r="H206" s="6" t="n">
        <v>234</v>
      </c>
      <c r="I206" s="6" t="inlineStr">
        <is>
          <t>***品牌营销策划有限公司</t>
        </is>
      </c>
      <c r="J206" s="6" t="b">
        <v>0</v>
      </c>
      <c r="K206" s="6" t="n">
        <v>0</v>
      </c>
      <c r="L206" s="6" t="n">
        <v>0.15</v>
      </c>
      <c r="M206" s="6" t="n">
        <v>0.885864918999995</v>
      </c>
      <c r="N206" s="6" t="n">
        <v>0.002320317666928188</v>
      </c>
      <c r="O206" s="6" t="inlineStr"/>
      <c r="P206" s="6" t="n">
        <v>0</v>
      </c>
      <c r="Q206" s="6" t="n">
        <v>0</v>
      </c>
      <c r="R206" s="6" t="n">
        <v>0</v>
      </c>
      <c r="S206" s="6" t="n">
        <v>0</v>
      </c>
      <c r="T206" s="6" t="n">
        <v>0</v>
      </c>
      <c r="U206" s="6" t="n">
        <v>0</v>
      </c>
      <c r="V206" s="9">
        <f>K206*(1-M206)*((1-B206)*L206-B206*'模型说明与假设'!$B$7-'模型说明与假设'!$B$8)</f>
        <v/>
      </c>
      <c r="W206" s="6" t="b">
        <v>0</v>
      </c>
    </row>
    <row r="207">
      <c r="A207" s="6" t="inlineStr">
        <is>
          <t>E415</t>
        </is>
      </c>
      <c r="B207" s="6" t="n">
        <v>0.1429953200515635</v>
      </c>
      <c r="C207" s="6" t="inlineStr">
        <is>
          <t>B</t>
        </is>
      </c>
      <c r="D207" s="6" t="n">
        <v>0.5988543912307119</v>
      </c>
      <c r="E207" s="6" t="n">
        <v>0.1380525735605747</v>
      </c>
      <c r="F207" s="6" t="n">
        <v>0.2060932192454815</v>
      </c>
      <c r="G207" s="6" t="n">
        <v>206</v>
      </c>
      <c r="H207" s="6" t="n">
        <v>227</v>
      </c>
      <c r="I207" s="6" t="inlineStr">
        <is>
          <t>***广告设计服务部</t>
        </is>
      </c>
      <c r="J207" s="6" t="b">
        <v>0</v>
      </c>
      <c r="K207" s="6" t="n">
        <v>0</v>
      </c>
      <c r="L207" s="6" t="n">
        <v>0.15</v>
      </c>
      <c r="M207" s="6" t="n">
        <v>0.885864918999995</v>
      </c>
      <c r="N207" s="6" t="n">
        <v>0.002026298297470496</v>
      </c>
      <c r="O207" s="6" t="inlineStr"/>
      <c r="P207" s="6" t="n">
        <v>0</v>
      </c>
      <c r="Q207" s="6" t="n">
        <v>0</v>
      </c>
      <c r="R207" s="6" t="n">
        <v>0</v>
      </c>
      <c r="S207" s="6" t="n">
        <v>0</v>
      </c>
      <c r="T207" s="6" t="n">
        <v>0</v>
      </c>
      <c r="U207" s="6" t="n">
        <v>0</v>
      </c>
      <c r="V207" s="9">
        <f>K207*(1-M207)*((1-B207)*L207-B207*'模型说明与假设'!$B$7-'模型说明与假设'!$B$8)</f>
        <v/>
      </c>
      <c r="W207" s="6" t="b">
        <v>0</v>
      </c>
    </row>
    <row r="208">
      <c r="A208" s="6" t="inlineStr">
        <is>
          <t>E286</t>
        </is>
      </c>
      <c r="B208" s="6" t="n">
        <v>0.1438153132678384</v>
      </c>
      <c r="C208" s="6" t="inlineStr">
        <is>
          <t>B</t>
        </is>
      </c>
      <c r="D208" s="6" t="n">
        <v>0.6975666310417845</v>
      </c>
      <c r="E208" s="6" t="n">
        <v>0.09094553449257309</v>
      </c>
      <c r="F208" s="6" t="n">
        <v>0.2097670978662532</v>
      </c>
      <c r="G208" s="6" t="n">
        <v>207</v>
      </c>
      <c r="H208" s="6" t="n">
        <v>117</v>
      </c>
      <c r="I208" s="6" t="inlineStr">
        <is>
          <t>***印务有限公司</t>
        </is>
      </c>
      <c r="J208" s="6" t="b">
        <v>0</v>
      </c>
      <c r="K208" s="6" t="n">
        <v>0</v>
      </c>
      <c r="L208" s="6" t="n">
        <v>0.15</v>
      </c>
      <c r="M208" s="6" t="n">
        <v>0.885864918999995</v>
      </c>
      <c r="N208" s="6" t="n">
        <v>0.001956105803351249</v>
      </c>
      <c r="O208" s="6" t="inlineStr"/>
      <c r="P208" s="6" t="n">
        <v>0</v>
      </c>
      <c r="Q208" s="6" t="n">
        <v>0</v>
      </c>
      <c r="R208" s="6" t="n">
        <v>0</v>
      </c>
      <c r="S208" s="6" t="n">
        <v>0</v>
      </c>
      <c r="T208" s="6" t="n">
        <v>0</v>
      </c>
      <c r="U208" s="6" t="n">
        <v>0</v>
      </c>
      <c r="V208" s="9">
        <f>K208*(1-M208)*((1-B208)*L208-B208*'模型说明与假设'!$B$7-'模型说明与假设'!$B$8)</f>
        <v/>
      </c>
      <c r="W208" s="6" t="b">
        <v>0</v>
      </c>
    </row>
    <row r="209">
      <c r="A209" s="6" t="inlineStr">
        <is>
          <t>E231</t>
        </is>
      </c>
      <c r="B209" s="6" t="n">
        <v>0.1478409566025393</v>
      </c>
      <c r="C209" s="6" t="inlineStr">
        <is>
          <t>B</t>
        </is>
      </c>
      <c r="D209" s="6" t="n">
        <v>0.5524122032676893</v>
      </c>
      <c r="E209" s="6" t="n">
        <v>0.1483840700270899</v>
      </c>
      <c r="F209" s="6" t="n">
        <v>0.1831354019299038</v>
      </c>
      <c r="G209" s="6" t="n">
        <v>208</v>
      </c>
      <c r="H209" s="6" t="n">
        <v>261</v>
      </c>
      <c r="I209" s="6" t="inlineStr">
        <is>
          <t>***建筑科技有限公司</t>
        </is>
      </c>
      <c r="J209" s="6" t="b">
        <v>0</v>
      </c>
      <c r="K209" s="6" t="n">
        <v>0</v>
      </c>
      <c r="L209" s="6" t="n">
        <v>0.15</v>
      </c>
      <c r="M209" s="6" t="n">
        <v>0.885864918999995</v>
      </c>
      <c r="N209" s="6" t="n">
        <v>0.001611505457288841</v>
      </c>
      <c r="O209" s="6" t="inlineStr"/>
      <c r="P209" s="6" t="n">
        <v>0</v>
      </c>
      <c r="Q209" s="6" t="n">
        <v>0</v>
      </c>
      <c r="R209" s="6" t="n">
        <v>0</v>
      </c>
      <c r="S209" s="6" t="n">
        <v>0</v>
      </c>
      <c r="T209" s="6" t="n">
        <v>0</v>
      </c>
      <c r="U209" s="6" t="n">
        <v>0</v>
      </c>
      <c r="V209" s="9">
        <f>K209*(1-M209)*((1-B209)*L209-B209*'模型说明与假设'!$B$7-'模型说明与假设'!$B$8)</f>
        <v/>
      </c>
      <c r="W209" s="6" t="b">
        <v>0</v>
      </c>
    </row>
    <row r="210">
      <c r="A210" s="6" t="inlineStr">
        <is>
          <t>E332</t>
        </is>
      </c>
      <c r="B210" s="6" t="n">
        <v>0.1485409443054264</v>
      </c>
      <c r="C210" s="6" t="inlineStr">
        <is>
          <t>B</t>
        </is>
      </c>
      <c r="D210" s="6" t="n">
        <v>0.6367359699690363</v>
      </c>
      <c r="E210" s="6" t="n">
        <v>0.1202271217816454</v>
      </c>
      <c r="F210" s="6" t="n">
        <v>0.2107363423725059</v>
      </c>
      <c r="G210" s="6" t="n">
        <v>209</v>
      </c>
      <c r="H210" s="6" t="n">
        <v>191</v>
      </c>
      <c r="I210" s="6" t="inlineStr">
        <is>
          <t>***商贸有限公司</t>
        </is>
      </c>
      <c r="J210" s="6" t="b">
        <v>0</v>
      </c>
      <c r="K210" s="6" t="n">
        <v>0</v>
      </c>
      <c r="L210" s="6" t="n">
        <v>0.15</v>
      </c>
      <c r="M210" s="6" t="n">
        <v>0.885864918999995</v>
      </c>
      <c r="N210" s="6" t="n">
        <v>0.001551585592412817</v>
      </c>
      <c r="O210" s="6" t="inlineStr"/>
      <c r="P210" s="6" t="n">
        <v>0</v>
      </c>
      <c r="Q210" s="6" t="n">
        <v>0</v>
      </c>
      <c r="R210" s="6" t="n">
        <v>0</v>
      </c>
      <c r="S210" s="6" t="n">
        <v>0</v>
      </c>
      <c r="T210" s="6" t="n">
        <v>0</v>
      </c>
      <c r="U210" s="6" t="n">
        <v>0</v>
      </c>
      <c r="V210" s="9">
        <f>K210*(1-M210)*((1-B210)*L210-B210*'模型说明与假设'!$B$7-'模型说明与假设'!$B$8)</f>
        <v/>
      </c>
      <c r="W210" s="6" t="b">
        <v>0</v>
      </c>
    </row>
    <row r="211">
      <c r="A211" s="6" t="inlineStr">
        <is>
          <t>E342</t>
        </is>
      </c>
      <c r="B211" s="6" t="n">
        <v>0.150213099806116</v>
      </c>
      <c r="C211" s="6" t="inlineStr">
        <is>
          <t>B</t>
        </is>
      </c>
      <c r="D211" s="6" t="n">
        <v>0.6615128612715314</v>
      </c>
      <c r="E211" s="6" t="n">
        <v>0.1075584283121531</v>
      </c>
      <c r="F211" s="6" t="n">
        <v>0.2102038025253249</v>
      </c>
      <c r="G211" s="6" t="n">
        <v>210</v>
      </c>
      <c r="H211" s="6" t="n">
        <v>167</v>
      </c>
      <c r="I211" s="6" t="inlineStr">
        <is>
          <t>***裕华机械厂</t>
        </is>
      </c>
      <c r="J211" s="6" t="b">
        <v>0</v>
      </c>
      <c r="K211" s="6" t="n">
        <v>0</v>
      </c>
      <c r="L211" s="6" t="n">
        <v>0.15</v>
      </c>
      <c r="M211" s="6" t="n">
        <v>0.885864918999995</v>
      </c>
      <c r="N211" s="6" t="n">
        <v>0.001408446889775965</v>
      </c>
      <c r="O211" s="6" t="inlineStr"/>
      <c r="P211" s="6" t="n">
        <v>0</v>
      </c>
      <c r="Q211" s="6" t="n">
        <v>0</v>
      </c>
      <c r="R211" s="6" t="n">
        <v>0</v>
      </c>
      <c r="S211" s="6" t="n">
        <v>0</v>
      </c>
      <c r="T211" s="6" t="n">
        <v>0</v>
      </c>
      <c r="U211" s="6" t="n">
        <v>0</v>
      </c>
      <c r="V211" s="9">
        <f>K211*(1-M211)*((1-B211)*L211-B211*'模型说明与假设'!$B$7-'模型说明与假设'!$B$8)</f>
        <v/>
      </c>
      <c r="W211" s="6" t="b">
        <v>0</v>
      </c>
    </row>
    <row r="212">
      <c r="A212" s="6" t="inlineStr">
        <is>
          <t>E344</t>
        </is>
      </c>
      <c r="B212" s="6" t="n">
        <v>0.1511735545383836</v>
      </c>
      <c r="C212" s="6" t="inlineStr">
        <is>
          <t>B</t>
        </is>
      </c>
      <c r="D212" s="6" t="n">
        <v>0.6285771860745221</v>
      </c>
      <c r="E212" s="6" t="n">
        <v>0.1156170710096509</v>
      </c>
      <c r="F212" s="6" t="n">
        <v>0.1956644837977182</v>
      </c>
      <c r="G212" s="6" t="n">
        <v>211</v>
      </c>
      <c r="H212" s="6" t="n">
        <v>196</v>
      </c>
      <c r="I212" s="6" t="inlineStr">
        <is>
          <t>***机械有限公司</t>
        </is>
      </c>
      <c r="J212" s="6" t="b">
        <v>0</v>
      </c>
      <c r="K212" s="6" t="n">
        <v>0</v>
      </c>
      <c r="L212" s="6" t="n">
        <v>0.15</v>
      </c>
      <c r="M212" s="6" t="n">
        <v>0.885864918999995</v>
      </c>
      <c r="N212" s="6" t="n">
        <v>0.001326230705777807</v>
      </c>
      <c r="O212" s="6" t="inlineStr"/>
      <c r="P212" s="6" t="n">
        <v>0</v>
      </c>
      <c r="Q212" s="6" t="n">
        <v>0</v>
      </c>
      <c r="R212" s="6" t="n">
        <v>0</v>
      </c>
      <c r="S212" s="6" t="n">
        <v>0</v>
      </c>
      <c r="T212" s="6" t="n">
        <v>0</v>
      </c>
      <c r="U212" s="6" t="n">
        <v>0</v>
      </c>
      <c r="V212" s="9">
        <f>K212*(1-M212)*((1-B212)*L212-B212*'模型说明与假设'!$B$7-'模型说明与假设'!$B$8)</f>
        <v/>
      </c>
      <c r="W212" s="6" t="b">
        <v>0</v>
      </c>
    </row>
    <row r="213">
      <c r="A213" s="6" t="inlineStr">
        <is>
          <t>E300</t>
        </is>
      </c>
      <c r="B213" s="6" t="n">
        <v>0.1539896087317801</v>
      </c>
      <c r="C213" s="6" t="inlineStr">
        <is>
          <t>B</t>
        </is>
      </c>
      <c r="D213" s="6" t="n">
        <v>0.6965213787098747</v>
      </c>
      <c r="E213" s="6" t="n">
        <v>0.09265907595697458</v>
      </c>
      <c r="F213" s="6" t="n">
        <v>0.2126641641548638</v>
      </c>
      <c r="G213" s="6" t="n">
        <v>212</v>
      </c>
      <c r="H213" s="6" t="n">
        <v>118</v>
      </c>
      <c r="I213" s="6" t="inlineStr">
        <is>
          <t>***建设工程有限公司</t>
        </is>
      </c>
      <c r="J213" s="6" t="b">
        <v>0</v>
      </c>
      <c r="K213" s="6" t="n">
        <v>0</v>
      </c>
      <c r="L213" s="6" t="n">
        <v>0.15</v>
      </c>
      <c r="M213" s="6" t="n">
        <v>0.885864918999995</v>
      </c>
      <c r="N213" s="6" t="n">
        <v>0.001085172775680027</v>
      </c>
      <c r="O213" s="6" t="inlineStr"/>
      <c r="P213" s="6" t="n">
        <v>0</v>
      </c>
      <c r="Q213" s="6" t="n">
        <v>0</v>
      </c>
      <c r="R213" s="6" t="n">
        <v>0</v>
      </c>
      <c r="S213" s="6" t="n">
        <v>0</v>
      </c>
      <c r="T213" s="6" t="n">
        <v>0</v>
      </c>
      <c r="U213" s="6" t="n">
        <v>0</v>
      </c>
      <c r="V213" s="9">
        <f>K213*(1-M213)*((1-B213)*L213-B213*'模型说明与假设'!$B$7-'模型说明与假设'!$B$8)</f>
        <v/>
      </c>
      <c r="W213" s="6" t="b">
        <v>0</v>
      </c>
    </row>
    <row r="214">
      <c r="A214" s="6" t="inlineStr">
        <is>
          <t>E340</t>
        </is>
      </c>
      <c r="B214" s="6" t="n">
        <v>0.155345521255632</v>
      </c>
      <c r="C214" s="6" t="inlineStr">
        <is>
          <t>B</t>
        </is>
      </c>
      <c r="D214" s="6" t="n">
        <v>0.6031897312101097</v>
      </c>
      <c r="E214" s="6" t="n">
        <v>0.1299450053799598</v>
      </c>
      <c r="F214" s="6" t="n">
        <v>0.1975288923501547</v>
      </c>
      <c r="G214" s="6" t="n">
        <v>213</v>
      </c>
      <c r="H214" s="6" t="n">
        <v>219</v>
      </c>
      <c r="I214" s="6" t="inlineStr">
        <is>
          <t>***物流有限公司</t>
        </is>
      </c>
      <c r="J214" s="6" t="b">
        <v>0</v>
      </c>
      <c r="K214" s="6" t="n">
        <v>0</v>
      </c>
      <c r="L214" s="6" t="n">
        <v>0.15</v>
      </c>
      <c r="M214" s="6" t="n">
        <v>0.885864918999995</v>
      </c>
      <c r="N214" s="6" t="n">
        <v>0.0009691048863759567</v>
      </c>
      <c r="O214" s="6" t="inlineStr"/>
      <c r="P214" s="6" t="n">
        <v>0</v>
      </c>
      <c r="Q214" s="6" t="n">
        <v>0</v>
      </c>
      <c r="R214" s="6" t="n">
        <v>0</v>
      </c>
      <c r="S214" s="6" t="n">
        <v>0</v>
      </c>
      <c r="T214" s="6" t="n">
        <v>0</v>
      </c>
      <c r="U214" s="6" t="n">
        <v>0</v>
      </c>
      <c r="V214" s="9">
        <f>K214*(1-M214)*((1-B214)*L214-B214*'模型说明与假设'!$B$7-'模型说明与假设'!$B$8)</f>
        <v/>
      </c>
      <c r="W214" s="6" t="b">
        <v>0</v>
      </c>
    </row>
    <row r="215">
      <c r="A215" s="6" t="inlineStr">
        <is>
          <t>E237</t>
        </is>
      </c>
      <c r="B215" s="6" t="n">
        <v>0.1570505532835418</v>
      </c>
      <c r="C215" s="6" t="inlineStr">
        <is>
          <t>B</t>
        </is>
      </c>
      <c r="D215" s="6" t="n">
        <v>0.6592255995115751</v>
      </c>
      <c r="E215" s="6" t="n">
        <v>0.1066967770735705</v>
      </c>
      <c r="F215" s="6" t="n">
        <v>0.2064041393117103</v>
      </c>
      <c r="G215" s="6" t="n">
        <v>214</v>
      </c>
      <c r="H215" s="6" t="n">
        <v>172</v>
      </c>
      <c r="I215" s="6" t="inlineStr">
        <is>
          <t xml:space="preserve">个体经营E237 </t>
        </is>
      </c>
      <c r="J215" s="6" t="b">
        <v>0</v>
      </c>
      <c r="K215" s="6" t="n">
        <v>0</v>
      </c>
      <c r="L215" s="6" t="n">
        <v>0.15</v>
      </c>
      <c r="M215" s="6" t="n">
        <v>0.885864918999995</v>
      </c>
      <c r="N215" s="6" t="n">
        <v>0.0008231519099161409</v>
      </c>
      <c r="O215" s="6" t="inlineStr"/>
      <c r="P215" s="6" t="n">
        <v>0</v>
      </c>
      <c r="Q215" s="6" t="n">
        <v>0</v>
      </c>
      <c r="R215" s="6" t="n">
        <v>0</v>
      </c>
      <c r="S215" s="6" t="n">
        <v>0</v>
      </c>
      <c r="T215" s="6" t="n">
        <v>0</v>
      </c>
      <c r="U215" s="6" t="n">
        <v>0</v>
      </c>
      <c r="V215" s="9">
        <f>K215*(1-M215)*((1-B215)*L215-B215*'模型说明与假设'!$B$7-'模型说明与假设'!$B$8)</f>
        <v/>
      </c>
      <c r="W215" s="6" t="b">
        <v>0</v>
      </c>
    </row>
    <row r="216">
      <c r="A216" s="6" t="inlineStr">
        <is>
          <t>E251</t>
        </is>
      </c>
      <c r="B216" s="6" t="n">
        <v>0.1574484809021704</v>
      </c>
      <c r="C216" s="6" t="inlineStr">
        <is>
          <t>B</t>
        </is>
      </c>
      <c r="D216" s="6" t="n">
        <v>0.6890770280634728</v>
      </c>
      <c r="E216" s="6" t="n">
        <v>0.09176335959131472</v>
      </c>
      <c r="F216" s="6" t="n">
        <v>0.203368772395535</v>
      </c>
      <c r="G216" s="6" t="n">
        <v>215</v>
      </c>
      <c r="H216" s="6" t="n">
        <v>131</v>
      </c>
      <c r="I216" s="6" t="inlineStr">
        <is>
          <t>***医疗器械有限责任公司</t>
        </is>
      </c>
      <c r="J216" s="6" t="b">
        <v>0</v>
      </c>
      <c r="K216" s="6" t="n">
        <v>0</v>
      </c>
      <c r="L216" s="6" t="n">
        <v>0.15</v>
      </c>
      <c r="M216" s="6" t="n">
        <v>0.885864918999995</v>
      </c>
      <c r="N216" s="6" t="n">
        <v>0.0007890887841779087</v>
      </c>
      <c r="O216" s="6" t="inlineStr"/>
      <c r="P216" s="6" t="n">
        <v>0</v>
      </c>
      <c r="Q216" s="6" t="n">
        <v>0</v>
      </c>
      <c r="R216" s="6" t="n">
        <v>0</v>
      </c>
      <c r="S216" s="6" t="n">
        <v>0</v>
      </c>
      <c r="T216" s="6" t="n">
        <v>0</v>
      </c>
      <c r="U216" s="6" t="n">
        <v>0</v>
      </c>
      <c r="V216" s="9">
        <f>K216*(1-M216)*((1-B216)*L216-B216*'模型说明与假设'!$B$7-'模型说明与假设'!$B$8)</f>
        <v/>
      </c>
      <c r="W216" s="6" t="b">
        <v>0</v>
      </c>
    </row>
    <row r="217">
      <c r="A217" s="6" t="inlineStr">
        <is>
          <t>E268</t>
        </is>
      </c>
      <c r="B217" s="6" t="n">
        <v>0.161416078997076</v>
      </c>
      <c r="C217" s="6" t="inlineStr">
        <is>
          <t>B</t>
        </is>
      </c>
      <c r="D217" s="6" t="n">
        <v>0.6169967082680696</v>
      </c>
      <c r="E217" s="6" t="n">
        <v>0.1237963722008168</v>
      </c>
      <c r="F217" s="6" t="n">
        <v>0.199428975657195</v>
      </c>
      <c r="G217" s="6" t="n">
        <v>216</v>
      </c>
      <c r="H217" s="6" t="n">
        <v>209</v>
      </c>
      <c r="I217" s="6" t="inlineStr">
        <is>
          <t>***建筑劳务有限公司</t>
        </is>
      </c>
      <c r="J217" s="6" t="b">
        <v>0</v>
      </c>
      <c r="K217" s="6" t="n">
        <v>0</v>
      </c>
      <c r="L217" s="6" t="n">
        <v>0.15</v>
      </c>
      <c r="M217" s="6" t="n">
        <v>0.885864918999995</v>
      </c>
      <c r="N217" s="6" t="n">
        <v>0.0004494571867247699</v>
      </c>
      <c r="O217" s="6" t="inlineStr"/>
      <c r="P217" s="6" t="n">
        <v>0</v>
      </c>
      <c r="Q217" s="6" t="n">
        <v>0</v>
      </c>
      <c r="R217" s="6" t="n">
        <v>0</v>
      </c>
      <c r="S217" s="6" t="n">
        <v>0</v>
      </c>
      <c r="T217" s="6" t="n">
        <v>0</v>
      </c>
      <c r="U217" s="6" t="n">
        <v>0</v>
      </c>
      <c r="V217" s="9">
        <f>K217*(1-M217)*((1-B217)*L217-B217*'模型说明与假设'!$B$7-'模型说明与假设'!$B$8)</f>
        <v/>
      </c>
      <c r="W217" s="6" t="b">
        <v>0</v>
      </c>
    </row>
    <row r="218">
      <c r="A218" s="6" t="inlineStr">
        <is>
          <t>E392</t>
        </is>
      </c>
      <c r="B218" s="6" t="n">
        <v>0.1642555252676096</v>
      </c>
      <c r="C218" s="6" t="inlineStr">
        <is>
          <t>B</t>
        </is>
      </c>
      <c r="D218" s="6" t="n">
        <v>0.6527059367373637</v>
      </c>
      <c r="E218" s="6" t="n">
        <v>0.1125354990454035</v>
      </c>
      <c r="F218" s="6" t="n">
        <v>0.2114996946120823</v>
      </c>
      <c r="G218" s="6" t="n">
        <v>217</v>
      </c>
      <c r="H218" s="6" t="n">
        <v>179</v>
      </c>
      <c r="I218" s="6" t="inlineStr">
        <is>
          <t>***科技有限公司</t>
        </is>
      </c>
      <c r="J218" s="6" t="b">
        <v>0</v>
      </c>
      <c r="K218" s="6" t="n">
        <v>0</v>
      </c>
      <c r="L218" s="6" t="n">
        <v>0.15</v>
      </c>
      <c r="M218" s="6" t="n">
        <v>0.885864918999995</v>
      </c>
      <c r="N218" s="6" t="n">
        <v>0.0002063968641628808</v>
      </c>
      <c r="O218" s="6" t="inlineStr"/>
      <c r="P218" s="6" t="n">
        <v>0</v>
      </c>
      <c r="Q218" s="6" t="n">
        <v>0</v>
      </c>
      <c r="R218" s="6" t="n">
        <v>0</v>
      </c>
      <c r="S218" s="6" t="n">
        <v>0</v>
      </c>
      <c r="T218" s="6" t="n">
        <v>0</v>
      </c>
      <c r="U218" s="6" t="n">
        <v>0</v>
      </c>
      <c r="V218" s="9">
        <f>K218*(1-M218)*((1-B218)*L218-B218*'模型说明与假设'!$B$7-'模型说明与假设'!$B$8)</f>
        <v/>
      </c>
      <c r="W218" s="6" t="b">
        <v>0</v>
      </c>
    </row>
    <row r="219">
      <c r="A219" s="6" t="inlineStr">
        <is>
          <t>E338</t>
        </is>
      </c>
      <c r="B219" s="6" t="n">
        <v>0.1660536910998008</v>
      </c>
      <c r="C219" s="6" t="inlineStr">
        <is>
          <t>B</t>
        </is>
      </c>
      <c r="D219" s="6" t="n">
        <v>0.6588653740597915</v>
      </c>
      <c r="E219" s="6" t="n">
        <v>0.1098894306362838</v>
      </c>
      <c r="F219" s="6" t="n">
        <v>0.2122397883880682</v>
      </c>
      <c r="G219" s="6" t="n">
        <v>218</v>
      </c>
      <c r="H219" s="6" t="n">
        <v>173</v>
      </c>
      <c r="I219" s="6" t="inlineStr">
        <is>
          <t>***商贸有限公司</t>
        </is>
      </c>
      <c r="J219" s="6" t="b">
        <v>0</v>
      </c>
      <c r="K219" s="6" t="n">
        <v>0</v>
      </c>
      <c r="L219" s="6" t="n">
        <v>0.15</v>
      </c>
      <c r="M219" s="6" t="n">
        <v>0.885864918999995</v>
      </c>
      <c r="N219" s="6" t="n">
        <v>5.247151198144393e-05</v>
      </c>
      <c r="O219" s="6" t="inlineStr"/>
      <c r="P219" s="6" t="n">
        <v>0</v>
      </c>
      <c r="Q219" s="6" t="n">
        <v>0</v>
      </c>
      <c r="R219" s="6" t="n">
        <v>0</v>
      </c>
      <c r="S219" s="6" t="n">
        <v>0</v>
      </c>
      <c r="T219" s="6" t="n">
        <v>0</v>
      </c>
      <c r="U219" s="6" t="n">
        <v>0</v>
      </c>
      <c r="V219" s="9">
        <f>K219*(1-M219)*((1-B219)*L219-B219*'模型说明与假设'!$B$7-'模型说明与假设'!$B$8)</f>
        <v/>
      </c>
      <c r="W219" s="6" t="b">
        <v>0</v>
      </c>
    </row>
    <row r="220">
      <c r="A220" s="6" t="inlineStr">
        <is>
          <t>E354</t>
        </is>
      </c>
      <c r="B220" s="6" t="n">
        <v>0.1666343222922544</v>
      </c>
      <c r="C220" s="6" t="inlineStr">
        <is>
          <t>B</t>
        </is>
      </c>
      <c r="D220" s="6" t="n">
        <v>0.639869483041777</v>
      </c>
      <c r="E220" s="6" t="n">
        <v>0.1160774438129625</v>
      </c>
      <c r="F220" s="6" t="n">
        <v>0.2062430437519059</v>
      </c>
      <c r="G220" s="6" t="n">
        <v>219</v>
      </c>
      <c r="H220" s="6" t="n">
        <v>189</v>
      </c>
      <c r="I220" s="6" t="inlineStr">
        <is>
          <t>***广告有限公司</t>
        </is>
      </c>
      <c r="J220" s="6" t="b">
        <v>0</v>
      </c>
      <c r="K220" s="6" t="n">
        <v>0</v>
      </c>
      <c r="L220" s="6" t="n">
        <v>0.15</v>
      </c>
      <c r="M220" s="6" t="n">
        <v>0.885864918999995</v>
      </c>
      <c r="N220" s="6" t="n">
        <v>2.768720845077497e-06</v>
      </c>
      <c r="O220" s="6" t="inlineStr"/>
      <c r="P220" s="6" t="n">
        <v>0</v>
      </c>
      <c r="Q220" s="6" t="n">
        <v>0</v>
      </c>
      <c r="R220" s="6" t="n">
        <v>0</v>
      </c>
      <c r="S220" s="6" t="n">
        <v>0</v>
      </c>
      <c r="T220" s="6" t="n">
        <v>0</v>
      </c>
      <c r="U220" s="6" t="n">
        <v>0</v>
      </c>
      <c r="V220" s="9">
        <f>K220*(1-M220)*((1-B220)*L220-B220*'模型说明与假设'!$B$7-'模型说明与假设'!$B$8)</f>
        <v/>
      </c>
      <c r="W220" s="6" t="b">
        <v>0</v>
      </c>
    </row>
    <row r="221">
      <c r="A221" s="6" t="inlineStr">
        <is>
          <t>E410</t>
        </is>
      </c>
      <c r="B221" s="6" t="n">
        <v>0.1686280439476642</v>
      </c>
      <c r="C221" s="6" t="inlineStr">
        <is>
          <t>B</t>
        </is>
      </c>
      <c r="D221" s="6" t="n">
        <v>0.6002891066947231</v>
      </c>
      <c r="E221" s="6" t="n">
        <v>0.1324825050720952</v>
      </c>
      <c r="F221" s="6" t="n">
        <v>0.1989633156223948</v>
      </c>
      <c r="G221" s="6" t="n">
        <v>220</v>
      </c>
      <c r="H221" s="6" t="n">
        <v>223</v>
      </c>
      <c r="I221" s="6" t="inlineStr">
        <is>
          <t>***网络科技有限公司</t>
        </is>
      </c>
      <c r="J221" s="6" t="b">
        <v>0</v>
      </c>
      <c r="K221" s="6" t="n">
        <v>0</v>
      </c>
      <c r="L221" s="6" t="n">
        <v>0.15</v>
      </c>
      <c r="M221" s="6" t="n">
        <v>0.885864918999995</v>
      </c>
      <c r="N221" s="6" t="n">
        <v>-0.0001678964661286691</v>
      </c>
      <c r="O221" s="6" t="inlineStr"/>
      <c r="P221" s="6" t="n">
        <v>0</v>
      </c>
      <c r="Q221" s="6" t="n">
        <v>0</v>
      </c>
      <c r="R221" s="6" t="n">
        <v>0</v>
      </c>
      <c r="S221" s="6" t="n">
        <v>0</v>
      </c>
      <c r="T221" s="6" t="n">
        <v>0</v>
      </c>
      <c r="U221" s="6" t="n">
        <v>0</v>
      </c>
      <c r="V221" s="9">
        <f>K221*(1-M221)*((1-B221)*L221-B221*'模型说明与假设'!$B$7-'模型说明与假设'!$B$8)</f>
        <v/>
      </c>
      <c r="W221" s="6" t="b">
        <v>0</v>
      </c>
    </row>
    <row r="222">
      <c r="A222" s="6" t="inlineStr">
        <is>
          <t>E249</t>
        </is>
      </c>
      <c r="B222" s="6" t="n">
        <v>0.1756387851910534</v>
      </c>
      <c r="C222" s="6" t="inlineStr">
        <is>
          <t>B</t>
        </is>
      </c>
      <c r="D222" s="6" t="n">
        <v>0.6247172503498879</v>
      </c>
      <c r="E222" s="6" t="n">
        <v>0.1242867730944113</v>
      </c>
      <c r="F222" s="6" t="n">
        <v>0.2068949111431077</v>
      </c>
      <c r="G222" s="6" t="n">
        <v>221</v>
      </c>
      <c r="H222" s="6" t="n">
        <v>200</v>
      </c>
      <c r="I222" s="6" t="inlineStr">
        <is>
          <t>***建筑工程有限公司</t>
        </is>
      </c>
      <c r="J222" s="6" t="b">
        <v>0</v>
      </c>
      <c r="K222" s="6" t="n">
        <v>0</v>
      </c>
      <c r="L222" s="6" t="n">
        <v>0.15</v>
      </c>
      <c r="M222" s="6" t="n">
        <v>0.885864918999995</v>
      </c>
      <c r="N222" s="6" t="n">
        <v>-0.000768025105891896</v>
      </c>
      <c r="O222" s="6" t="inlineStr"/>
      <c r="P222" s="6" t="n">
        <v>0</v>
      </c>
      <c r="Q222" s="6" t="n">
        <v>0</v>
      </c>
      <c r="R222" s="6" t="n">
        <v>0</v>
      </c>
      <c r="S222" s="6" t="n">
        <v>0</v>
      </c>
      <c r="T222" s="6" t="n">
        <v>0</v>
      </c>
      <c r="U222" s="6" t="n">
        <v>0</v>
      </c>
      <c r="V222" s="9">
        <f>K222*(1-M222)*((1-B222)*L222-B222*'模型说明与假设'!$B$7-'模型说明与假设'!$B$8)</f>
        <v/>
      </c>
      <c r="W222" s="6" t="b">
        <v>0</v>
      </c>
    </row>
    <row r="223">
      <c r="A223" s="6" t="inlineStr">
        <is>
          <t>E192</t>
        </is>
      </c>
      <c r="B223" s="6" t="n">
        <v>0.176832069108543</v>
      </c>
      <c r="C223" s="6" t="inlineStr">
        <is>
          <t>B</t>
        </is>
      </c>
      <c r="D223" s="6" t="n">
        <v>0.6253115337944051</v>
      </c>
      <c r="E223" s="6" t="n">
        <v>0.1180621184387196</v>
      </c>
      <c r="F223" s="6" t="n">
        <v>0.1970319639447447</v>
      </c>
      <c r="G223" s="6" t="n">
        <v>222</v>
      </c>
      <c r="H223" s="6" t="n">
        <v>198</v>
      </c>
      <c r="I223" s="6" t="inlineStr">
        <is>
          <t>***建设工程有限公司</t>
        </is>
      </c>
      <c r="J223" s="6" t="b">
        <v>0</v>
      </c>
      <c r="K223" s="6" t="n">
        <v>0</v>
      </c>
      <c r="L223" s="6" t="n">
        <v>0.15</v>
      </c>
      <c r="M223" s="6" t="n">
        <v>0.885864918999995</v>
      </c>
      <c r="N223" s="6" t="n">
        <v>-0.0008701717733259061</v>
      </c>
      <c r="O223" s="6" t="inlineStr"/>
      <c r="P223" s="6" t="n">
        <v>0</v>
      </c>
      <c r="Q223" s="6" t="n">
        <v>0</v>
      </c>
      <c r="R223" s="6" t="n">
        <v>0</v>
      </c>
      <c r="S223" s="6" t="n">
        <v>0</v>
      </c>
      <c r="T223" s="6" t="n">
        <v>0</v>
      </c>
      <c r="U223" s="6" t="n">
        <v>0</v>
      </c>
      <c r="V223" s="9">
        <f>K223*(1-M223)*((1-B223)*L223-B223*'模型说明与假设'!$B$7-'模型说明与假设'!$B$8)</f>
        <v/>
      </c>
      <c r="W223" s="6" t="b">
        <v>0</v>
      </c>
    </row>
    <row r="224">
      <c r="A224" s="6" t="inlineStr">
        <is>
          <t>E296</t>
        </is>
      </c>
      <c r="B224" s="6" t="n">
        <v>0.1921129378136397</v>
      </c>
      <c r="C224" s="6" t="inlineStr">
        <is>
          <t>B</t>
        </is>
      </c>
      <c r="D224" s="6" t="n">
        <v>0.6497098965366014</v>
      </c>
      <c r="E224" s="6" t="n">
        <v>0.1065618805971012</v>
      </c>
      <c r="F224" s="6" t="n">
        <v>0.1976484854494969</v>
      </c>
      <c r="G224" s="6" t="n">
        <v>223</v>
      </c>
      <c r="H224" s="6" t="n">
        <v>180</v>
      </c>
      <c r="I224" s="6" t="inlineStr">
        <is>
          <t>***装饰设计工程有限公司</t>
        </is>
      </c>
      <c r="J224" s="6" t="b">
        <v>0</v>
      </c>
      <c r="K224" s="6" t="n">
        <v>0</v>
      </c>
      <c r="L224" s="6" t="n">
        <v>0.15</v>
      </c>
      <c r="M224" s="6" t="n">
        <v>0.885864918999995</v>
      </c>
      <c r="N224" s="6" t="n">
        <v>-0.002178234163880894</v>
      </c>
      <c r="O224" s="6" t="inlineStr"/>
      <c r="P224" s="6" t="n">
        <v>0</v>
      </c>
      <c r="Q224" s="6" t="n">
        <v>0</v>
      </c>
      <c r="R224" s="6" t="n">
        <v>0</v>
      </c>
      <c r="S224" s="6" t="n">
        <v>0</v>
      </c>
      <c r="T224" s="6" t="n">
        <v>0</v>
      </c>
      <c r="U224" s="6" t="n">
        <v>0</v>
      </c>
      <c r="V224" s="9">
        <f>K224*(1-M224)*((1-B224)*L224-B224*'模型说明与假设'!$B$7-'模型说明与假设'!$B$8)</f>
        <v/>
      </c>
      <c r="W224" s="6" t="b">
        <v>0</v>
      </c>
    </row>
    <row r="225">
      <c r="A225" s="6" t="inlineStr">
        <is>
          <t>E367</t>
        </is>
      </c>
      <c r="B225" s="6" t="n">
        <v>0.192989717828151</v>
      </c>
      <c r="C225" s="6" t="inlineStr">
        <is>
          <t>B</t>
        </is>
      </c>
      <c r="D225" s="6" t="n">
        <v>0.5649302413918019</v>
      </c>
      <c r="E225" s="6" t="n">
        <v>0.145230904967505</v>
      </c>
      <c r="F225" s="6" t="n">
        <v>0.188579712971336</v>
      </c>
      <c r="G225" s="6" t="n">
        <v>224</v>
      </c>
      <c r="H225" s="6" t="n">
        <v>253</v>
      </c>
      <c r="I225" s="6" t="inlineStr">
        <is>
          <t>***电子商务有限公司</t>
        </is>
      </c>
      <c r="J225" s="6" t="b">
        <v>0</v>
      </c>
      <c r="K225" s="6" t="n">
        <v>0</v>
      </c>
      <c r="L225" s="6" t="n">
        <v>0.15</v>
      </c>
      <c r="M225" s="6" t="n">
        <v>0.885864918999995</v>
      </c>
      <c r="N225" s="6" t="n">
        <v>-0.002253287682362467</v>
      </c>
      <c r="O225" s="6" t="inlineStr"/>
      <c r="P225" s="6" t="n">
        <v>0</v>
      </c>
      <c r="Q225" s="6" t="n">
        <v>0</v>
      </c>
      <c r="R225" s="6" t="n">
        <v>0</v>
      </c>
      <c r="S225" s="6" t="n">
        <v>0</v>
      </c>
      <c r="T225" s="6" t="n">
        <v>0</v>
      </c>
      <c r="U225" s="6" t="n">
        <v>0</v>
      </c>
      <c r="V225" s="9">
        <f>K225*(1-M225)*((1-B225)*L225-B225*'模型说明与假设'!$B$7-'模型说明与假设'!$B$8)</f>
        <v/>
      </c>
      <c r="W225" s="6" t="b">
        <v>0</v>
      </c>
    </row>
    <row r="226">
      <c r="A226" s="6" t="inlineStr">
        <is>
          <t>E335</t>
        </is>
      </c>
      <c r="B226" s="6" t="n">
        <v>0.1972350938716716</v>
      </c>
      <c r="C226" s="6" t="inlineStr">
        <is>
          <t>B</t>
        </is>
      </c>
      <c r="D226" s="6" t="n">
        <v>0.6536578775031683</v>
      </c>
      <c r="E226" s="6" t="n">
        <v>0.1064717606443807</v>
      </c>
      <c r="F226" s="6" t="n">
        <v>0.2009461181767397</v>
      </c>
      <c r="G226" s="6" t="n">
        <v>225</v>
      </c>
      <c r="H226" s="6" t="n">
        <v>178</v>
      </c>
      <c r="I226" s="6" t="inlineStr">
        <is>
          <t>***挖掘机租赁经营部</t>
        </is>
      </c>
      <c r="J226" s="6" t="b">
        <v>0</v>
      </c>
      <c r="K226" s="6" t="n">
        <v>0</v>
      </c>
      <c r="L226" s="6" t="n">
        <v>0.15</v>
      </c>
      <c r="M226" s="6" t="n">
        <v>0.885864918999995</v>
      </c>
      <c r="N226" s="6" t="n">
        <v>-0.002616697436314498</v>
      </c>
      <c r="O226" s="6" t="inlineStr"/>
      <c r="P226" s="6" t="n">
        <v>0</v>
      </c>
      <c r="Q226" s="6" t="n">
        <v>0</v>
      </c>
      <c r="R226" s="6" t="n">
        <v>0</v>
      </c>
      <c r="S226" s="6" t="n">
        <v>0</v>
      </c>
      <c r="T226" s="6" t="n">
        <v>0</v>
      </c>
      <c r="U226" s="6" t="n">
        <v>0</v>
      </c>
      <c r="V226" s="9">
        <f>K226*(1-M226)*((1-B226)*L226-B226*'模型说明与假设'!$B$7-'模型说明与假设'!$B$8)</f>
        <v/>
      </c>
      <c r="W226" s="6" t="b">
        <v>0</v>
      </c>
    </row>
    <row r="227">
      <c r="A227" s="6" t="inlineStr">
        <is>
          <t>E353</t>
        </is>
      </c>
      <c r="B227" s="6" t="n">
        <v>0.2035507168410176</v>
      </c>
      <c r="C227" s="6" t="inlineStr">
        <is>
          <t>C</t>
        </is>
      </c>
      <c r="D227" s="6" t="n">
        <v>0.641516700342869</v>
      </c>
      <c r="E227" s="6" t="n">
        <v>0.1162707576479679</v>
      </c>
      <c r="F227" s="6" t="n">
        <v>0.2080700352402204</v>
      </c>
      <c r="G227" s="6" t="n">
        <v>226</v>
      </c>
      <c r="H227" s="6" t="n">
        <v>186</v>
      </c>
      <c r="I227" s="6" t="inlineStr">
        <is>
          <t>***税务师事务所有限公司</t>
        </is>
      </c>
      <c r="J227" s="6" t="b">
        <v>0</v>
      </c>
      <c r="K227" s="6" t="n">
        <v>0</v>
      </c>
      <c r="L227" s="6" t="n">
        <v>0.15</v>
      </c>
      <c r="M227" s="6" t="n">
        <v>0.8951647386620309</v>
      </c>
      <c r="N227" s="6" t="n">
        <v>-0.00290006177942313</v>
      </c>
      <c r="O227" s="6" t="inlineStr"/>
      <c r="P227" s="6" t="n">
        <v>0</v>
      </c>
      <c r="Q227" s="6" t="n">
        <v>0</v>
      </c>
      <c r="R227" s="6" t="n">
        <v>0</v>
      </c>
      <c r="S227" s="6" t="n">
        <v>0</v>
      </c>
      <c r="T227" s="6" t="n">
        <v>0</v>
      </c>
      <c r="U227" s="6" t="n">
        <v>0</v>
      </c>
      <c r="V227" s="9">
        <f>K227*(1-M227)*((1-B227)*L227-B227*'模型说明与假设'!$B$7-'模型说明与假设'!$B$8)</f>
        <v/>
      </c>
      <c r="W227" s="6" t="b">
        <v>0</v>
      </c>
    </row>
    <row r="228">
      <c r="A228" s="6" t="inlineStr">
        <is>
          <t>E233</t>
        </is>
      </c>
      <c r="B228" s="6" t="n">
        <v>0.2080080709474971</v>
      </c>
      <c r="C228" s="6" t="inlineStr">
        <is>
          <t>C</t>
        </is>
      </c>
      <c r="D228" s="6" t="n">
        <v>0.6900744749997154</v>
      </c>
      <c r="E228" s="6" t="n">
        <v>0.1028144055976734</v>
      </c>
      <c r="F228" s="6" t="n">
        <v>0.2289246649341228</v>
      </c>
      <c r="G228" s="6" t="n">
        <v>227</v>
      </c>
      <c r="H228" s="6" t="n">
        <v>130</v>
      </c>
      <c r="I228" s="6" t="inlineStr">
        <is>
          <t>***劳务有限公司</t>
        </is>
      </c>
      <c r="J228" s="6" t="b">
        <v>0</v>
      </c>
      <c r="K228" s="6" t="n">
        <v>0</v>
      </c>
      <c r="L228" s="6" t="n">
        <v>0.15</v>
      </c>
      <c r="M228" s="6" t="n">
        <v>0.8951647386620309</v>
      </c>
      <c r="N228" s="6" t="n">
        <v>-0.003250527691394615</v>
      </c>
      <c r="O228" s="6" t="inlineStr"/>
      <c r="P228" s="6" t="n">
        <v>0</v>
      </c>
      <c r="Q228" s="6" t="n">
        <v>0</v>
      </c>
      <c r="R228" s="6" t="n">
        <v>0</v>
      </c>
      <c r="S228" s="6" t="n">
        <v>0</v>
      </c>
      <c r="T228" s="6" t="n">
        <v>0</v>
      </c>
      <c r="U228" s="6" t="n">
        <v>0</v>
      </c>
      <c r="V228" s="9">
        <f>K228*(1-M228)*((1-B228)*L228-B228*'模型说明与假设'!$B$7-'模型说明与假设'!$B$8)</f>
        <v/>
      </c>
      <c r="W228" s="6" t="b">
        <v>0</v>
      </c>
    </row>
    <row r="229">
      <c r="A229" s="6" t="inlineStr">
        <is>
          <t>E276</t>
        </is>
      </c>
      <c r="B229" s="6" t="n">
        <v>0.2087665386363401</v>
      </c>
      <c r="C229" s="6" t="inlineStr">
        <is>
          <t>C</t>
        </is>
      </c>
      <c r="D229" s="6" t="n">
        <v>0.65669199026145</v>
      </c>
      <c r="E229" s="6" t="n">
        <v>0.1066026593920865</v>
      </c>
      <c r="F229" s="6" t="n">
        <v>0.2039134263621345</v>
      </c>
      <c r="G229" s="6" t="n">
        <v>228</v>
      </c>
      <c r="H229" s="6" t="n">
        <v>175</v>
      </c>
      <c r="I229" s="6" t="inlineStr">
        <is>
          <t>***体育设施工程有限公司</t>
        </is>
      </c>
      <c r="J229" s="6" t="b">
        <v>0</v>
      </c>
      <c r="K229" s="6" t="n">
        <v>0</v>
      </c>
      <c r="L229" s="6" t="n">
        <v>0.15</v>
      </c>
      <c r="M229" s="6" t="n">
        <v>0.8951647386620309</v>
      </c>
      <c r="N229" s="6" t="n">
        <v>-0.003310163310176813</v>
      </c>
      <c r="O229" s="6" t="inlineStr"/>
      <c r="P229" s="6" t="n">
        <v>0</v>
      </c>
      <c r="Q229" s="6" t="n">
        <v>0</v>
      </c>
      <c r="R229" s="6" t="n">
        <v>0</v>
      </c>
      <c r="S229" s="6" t="n">
        <v>0</v>
      </c>
      <c r="T229" s="6" t="n">
        <v>0</v>
      </c>
      <c r="U229" s="6" t="n">
        <v>0</v>
      </c>
      <c r="V229" s="9">
        <f>K229*(1-M229)*((1-B229)*L229-B229*'模型说明与假设'!$B$7-'模型说明与假设'!$B$8)</f>
        <v/>
      </c>
      <c r="W229" s="6" t="b">
        <v>0</v>
      </c>
    </row>
    <row r="230">
      <c r="A230" s="6" t="inlineStr">
        <is>
          <t>E369</t>
        </is>
      </c>
      <c r="B230" s="6" t="n">
        <v>0.2114380811039406</v>
      </c>
      <c r="C230" s="6" t="inlineStr">
        <is>
          <t>C</t>
        </is>
      </c>
      <c r="D230" s="6" t="n">
        <v>0.6247304237991453</v>
      </c>
      <c r="E230" s="6" t="n">
        <v>0.1217202424340541</v>
      </c>
      <c r="F230" s="6" t="n">
        <v>0.2026339023019052</v>
      </c>
      <c r="G230" s="6" t="n">
        <v>229</v>
      </c>
      <c r="H230" s="6" t="n">
        <v>199</v>
      </c>
      <c r="I230" s="6" t="inlineStr">
        <is>
          <t>***网络技术有限公司</t>
        </is>
      </c>
      <c r="J230" s="6" t="b">
        <v>0</v>
      </c>
      <c r="K230" s="6" t="n">
        <v>0</v>
      </c>
      <c r="L230" s="6" t="n">
        <v>0.15</v>
      </c>
      <c r="M230" s="6" t="n">
        <v>0.8951647386620309</v>
      </c>
      <c r="N230" s="6" t="n">
        <v>-0.003520217199751605</v>
      </c>
      <c r="O230" s="6" t="inlineStr"/>
      <c r="P230" s="6" t="n">
        <v>0</v>
      </c>
      <c r="Q230" s="6" t="n">
        <v>0</v>
      </c>
      <c r="R230" s="6" t="n">
        <v>0</v>
      </c>
      <c r="S230" s="6" t="n">
        <v>0</v>
      </c>
      <c r="T230" s="6" t="n">
        <v>0</v>
      </c>
      <c r="U230" s="6" t="n">
        <v>0</v>
      </c>
      <c r="V230" s="9">
        <f>K230*(1-M230)*((1-B230)*L230-B230*'模型说明与假设'!$B$7-'模型说明与假设'!$B$8)</f>
        <v/>
      </c>
      <c r="W230" s="6" t="b">
        <v>0</v>
      </c>
    </row>
    <row r="231">
      <c r="A231" s="6" t="inlineStr">
        <is>
          <t>E345</t>
        </is>
      </c>
      <c r="B231" s="6" t="n">
        <v>0.2135450255261592</v>
      </c>
      <c r="C231" s="6" t="inlineStr">
        <is>
          <t>C</t>
        </is>
      </c>
      <c r="D231" s="6" t="n">
        <v>0.6641742495317855</v>
      </c>
      <c r="E231" s="6" t="n">
        <v>0.1058806763926034</v>
      </c>
      <c r="F231" s="6" t="n">
        <v>0.2094038908122122</v>
      </c>
      <c r="G231" s="6" t="n">
        <v>230</v>
      </c>
      <c r="H231" s="6" t="n">
        <v>163</v>
      </c>
      <c r="I231" s="6" t="inlineStr">
        <is>
          <t>***科技有限公司</t>
        </is>
      </c>
      <c r="J231" s="6" t="b">
        <v>0</v>
      </c>
      <c r="K231" s="6" t="n">
        <v>0</v>
      </c>
      <c r="L231" s="6" t="n">
        <v>0.15</v>
      </c>
      <c r="M231" s="6" t="n">
        <v>0.8951647386620309</v>
      </c>
      <c r="N231" s="6" t="n">
        <v>-0.003685878751597496</v>
      </c>
      <c r="O231" s="6" t="inlineStr"/>
      <c r="P231" s="6" t="n">
        <v>0</v>
      </c>
      <c r="Q231" s="6" t="n">
        <v>0</v>
      </c>
      <c r="R231" s="6" t="n">
        <v>0</v>
      </c>
      <c r="S231" s="6" t="n">
        <v>0</v>
      </c>
      <c r="T231" s="6" t="n">
        <v>0</v>
      </c>
      <c r="U231" s="6" t="n">
        <v>0</v>
      </c>
      <c r="V231" s="9">
        <f>K231*(1-M231)*((1-B231)*L231-B231*'模型说明与假设'!$B$7-'模型说明与假设'!$B$8)</f>
        <v/>
      </c>
      <c r="W231" s="6" t="b">
        <v>0</v>
      </c>
    </row>
    <row r="232">
      <c r="A232" s="6" t="inlineStr">
        <is>
          <t>E351</t>
        </is>
      </c>
      <c r="B232" s="6" t="n">
        <v>0.2183449415567134</v>
      </c>
      <c r="C232" s="6" t="inlineStr">
        <is>
          <t>C</t>
        </is>
      </c>
      <c r="D232" s="6" t="n">
        <v>0.620266304257853</v>
      </c>
      <c r="E232" s="6" t="n">
        <v>0.1208717916359479</v>
      </c>
      <c r="F232" s="6" t="n">
        <v>0.1974349401375322</v>
      </c>
      <c r="G232" s="6" t="n">
        <v>231</v>
      </c>
      <c r="H232" s="6" t="n">
        <v>206</v>
      </c>
      <c r="I232" s="6" t="inlineStr">
        <is>
          <t>***文化传播有限公司</t>
        </is>
      </c>
      <c r="J232" s="6" t="b">
        <v>0</v>
      </c>
      <c r="K232" s="6" t="n">
        <v>0</v>
      </c>
      <c r="L232" s="6" t="n">
        <v>0.15</v>
      </c>
      <c r="M232" s="6" t="n">
        <v>0.8951647386620309</v>
      </c>
      <c r="N232" s="6" t="n">
        <v>-0.004063279090195089</v>
      </c>
      <c r="O232" s="6" t="inlineStr"/>
      <c r="P232" s="6" t="n">
        <v>0</v>
      </c>
      <c r="Q232" s="6" t="n">
        <v>0</v>
      </c>
      <c r="R232" s="6" t="n">
        <v>0</v>
      </c>
      <c r="S232" s="6" t="n">
        <v>0</v>
      </c>
      <c r="T232" s="6" t="n">
        <v>0</v>
      </c>
      <c r="U232" s="6" t="n">
        <v>0</v>
      </c>
      <c r="V232" s="9">
        <f>K232*(1-M232)*((1-B232)*L232-B232*'模型说明与假设'!$B$7-'模型说明与假设'!$B$8)</f>
        <v/>
      </c>
      <c r="W232" s="6" t="b">
        <v>0</v>
      </c>
    </row>
    <row r="233">
      <c r="A233" s="6" t="inlineStr">
        <is>
          <t>E347</t>
        </is>
      </c>
      <c r="B233" s="6" t="n">
        <v>0.2200271447359339</v>
      </c>
      <c r="C233" s="6" t="inlineStr">
        <is>
          <t>C</t>
        </is>
      </c>
      <c r="D233" s="6" t="n">
        <v>0.6409655507702017</v>
      </c>
      <c r="E233" s="6" t="n">
        <v>0.1156457763404652</v>
      </c>
      <c r="F233" s="6" t="n">
        <v>0.206456396831354</v>
      </c>
      <c r="G233" s="6" t="n">
        <v>232</v>
      </c>
      <c r="H233" s="6" t="n">
        <v>187</v>
      </c>
      <c r="I233" s="6" t="inlineStr">
        <is>
          <t>***不锈钢材料有限公司</t>
        </is>
      </c>
      <c r="J233" s="6" t="b">
        <v>0</v>
      </c>
      <c r="K233" s="6" t="n">
        <v>0</v>
      </c>
      <c r="L233" s="6" t="n">
        <v>0.15</v>
      </c>
      <c r="M233" s="6" t="n">
        <v>0.8951647386620309</v>
      </c>
      <c r="N233" s="6" t="n">
        <v>-0.004195544747632947</v>
      </c>
      <c r="O233" s="6" t="inlineStr"/>
      <c r="P233" s="6" t="n">
        <v>0</v>
      </c>
      <c r="Q233" s="6" t="n">
        <v>0</v>
      </c>
      <c r="R233" s="6" t="n">
        <v>0</v>
      </c>
      <c r="S233" s="6" t="n">
        <v>0</v>
      </c>
      <c r="T233" s="6" t="n">
        <v>0</v>
      </c>
      <c r="U233" s="6" t="n">
        <v>0</v>
      </c>
      <c r="V233" s="9">
        <f>K233*(1-M233)*((1-B233)*L233-B233*'模型说明与假设'!$B$7-'模型说明与假设'!$B$8)</f>
        <v/>
      </c>
      <c r="W233" s="6" t="b">
        <v>0</v>
      </c>
    </row>
    <row r="234">
      <c r="A234" s="6" t="inlineStr">
        <is>
          <t>E331</t>
        </is>
      </c>
      <c r="B234" s="6" t="n">
        <v>0.2286713418100444</v>
      </c>
      <c r="C234" s="6" t="inlineStr">
        <is>
          <t>C</t>
        </is>
      </c>
      <c r="D234" s="6" t="n">
        <v>0.6408801141305505</v>
      </c>
      <c r="E234" s="6" t="n">
        <v>0.1145845328170326</v>
      </c>
      <c r="F234" s="6" t="n">
        <v>0.2044858871894145</v>
      </c>
      <c r="G234" s="6" t="n">
        <v>233</v>
      </c>
      <c r="H234" s="6" t="n">
        <v>188</v>
      </c>
      <c r="I234" s="6" t="inlineStr">
        <is>
          <t>***广告有限公司</t>
        </is>
      </c>
      <c r="J234" s="6" t="b">
        <v>0</v>
      </c>
      <c r="K234" s="6" t="n">
        <v>0</v>
      </c>
      <c r="L234" s="6" t="n">
        <v>0.15</v>
      </c>
      <c r="M234" s="6" t="n">
        <v>0.8951647386620309</v>
      </c>
      <c r="N234" s="6" t="n">
        <v>-0.004875207242123906</v>
      </c>
      <c r="O234" s="6" t="inlineStr"/>
      <c r="P234" s="6" t="n">
        <v>0</v>
      </c>
      <c r="Q234" s="6" t="n">
        <v>0</v>
      </c>
      <c r="R234" s="6" t="n">
        <v>0</v>
      </c>
      <c r="S234" s="6" t="n">
        <v>0</v>
      </c>
      <c r="T234" s="6" t="n">
        <v>0</v>
      </c>
      <c r="U234" s="6" t="n">
        <v>0</v>
      </c>
      <c r="V234" s="9">
        <f>K234*(1-M234)*((1-B234)*L234-B234*'模型说明与假设'!$B$7-'模型说明与假设'!$B$8)</f>
        <v/>
      </c>
      <c r="W234" s="6" t="b">
        <v>0</v>
      </c>
    </row>
    <row r="235">
      <c r="A235" s="6" t="inlineStr">
        <is>
          <t>E400</t>
        </is>
      </c>
      <c r="B235" s="6" t="n">
        <v>0.2309816408448649</v>
      </c>
      <c r="C235" s="6" t="inlineStr">
        <is>
          <t>C</t>
        </is>
      </c>
      <c r="D235" s="6" t="n">
        <v>0.5658004719391663</v>
      </c>
      <c r="E235" s="6" t="n">
        <v>0.1464221402715153</v>
      </c>
      <c r="F235" s="6" t="n">
        <v>0.1908010274399908</v>
      </c>
      <c r="G235" s="6" t="n">
        <v>234</v>
      </c>
      <c r="H235" s="6" t="n">
        <v>252</v>
      </c>
      <c r="I235" s="6" t="inlineStr">
        <is>
          <t>***办公用品经营部</t>
        </is>
      </c>
      <c r="J235" s="6" t="b">
        <v>0</v>
      </c>
      <c r="K235" s="6" t="n">
        <v>0</v>
      </c>
      <c r="L235" s="6" t="n">
        <v>0.15</v>
      </c>
      <c r="M235" s="6" t="n">
        <v>0.8951647386620309</v>
      </c>
      <c r="N235" s="6" t="n">
        <v>-0.005056857844437106</v>
      </c>
      <c r="O235" s="6" t="inlineStr"/>
      <c r="P235" s="6" t="n">
        <v>0</v>
      </c>
      <c r="Q235" s="6" t="n">
        <v>0</v>
      </c>
      <c r="R235" s="6" t="n">
        <v>0</v>
      </c>
      <c r="S235" s="6" t="n">
        <v>0</v>
      </c>
      <c r="T235" s="6" t="n">
        <v>0</v>
      </c>
      <c r="U235" s="6" t="n">
        <v>0</v>
      </c>
      <c r="V235" s="9">
        <f>K235*(1-M235)*((1-B235)*L235-B235*'模型说明与假设'!$B$7-'模型说明与假设'!$B$8)</f>
        <v/>
      </c>
      <c r="W235" s="6" t="b">
        <v>0</v>
      </c>
    </row>
    <row r="236">
      <c r="A236" s="6" t="inlineStr">
        <is>
          <t>E232</t>
        </is>
      </c>
      <c r="B236" s="6" t="n">
        <v>0.233180052290264</v>
      </c>
      <c r="C236" s="6" t="inlineStr">
        <is>
          <t>C</t>
        </is>
      </c>
      <c r="D236" s="6" t="n">
        <v>0.5992330268933961</v>
      </c>
      <c r="E236" s="6" t="n">
        <v>0.1315294132620313</v>
      </c>
      <c r="F236" s="6" t="n">
        <v>0.1966648294981987</v>
      </c>
      <c r="G236" s="6" t="n">
        <v>235</v>
      </c>
      <c r="H236" s="6" t="n">
        <v>226</v>
      </c>
      <c r="I236" s="6" t="inlineStr">
        <is>
          <t>***投资发展有限责任公司</t>
        </is>
      </c>
      <c r="J236" s="6" t="b">
        <v>0</v>
      </c>
      <c r="K236" s="6" t="n">
        <v>0</v>
      </c>
      <c r="L236" s="6" t="n">
        <v>0.15</v>
      </c>
      <c r="M236" s="6" t="n">
        <v>0.8951647386620309</v>
      </c>
      <c r="N236" s="6" t="n">
        <v>-0.005229711123242204</v>
      </c>
      <c r="O236" s="6" t="inlineStr"/>
      <c r="P236" s="6" t="n">
        <v>0</v>
      </c>
      <c r="Q236" s="6" t="n">
        <v>0</v>
      </c>
      <c r="R236" s="6" t="n">
        <v>0</v>
      </c>
      <c r="S236" s="6" t="n">
        <v>0</v>
      </c>
      <c r="T236" s="6" t="n">
        <v>0</v>
      </c>
      <c r="U236" s="6" t="n">
        <v>0</v>
      </c>
      <c r="V236" s="9">
        <f>K236*(1-M236)*((1-B236)*L236-B236*'模型说明与假设'!$B$7-'模型说明与假设'!$B$8)</f>
        <v/>
      </c>
      <c r="W236" s="6" t="b">
        <v>0</v>
      </c>
    </row>
    <row r="237">
      <c r="A237" s="6" t="inlineStr">
        <is>
          <t>E412</t>
        </is>
      </c>
      <c r="B237" s="6" t="n">
        <v>0.2353933391848287</v>
      </c>
      <c r="C237" s="6" t="inlineStr">
        <is>
          <t>C</t>
        </is>
      </c>
      <c r="D237" s="6" t="n">
        <v>0.6139524122026562</v>
      </c>
      <c r="E237" s="6" t="n">
        <v>0.1275014585308706</v>
      </c>
      <c r="F237" s="6" t="n">
        <v>0.2027724832345748</v>
      </c>
      <c r="G237" s="6" t="n">
        <v>236</v>
      </c>
      <c r="H237" s="6" t="n">
        <v>212</v>
      </c>
      <c r="I237" s="6" t="inlineStr">
        <is>
          <t>***汽车贸易有限公司</t>
        </is>
      </c>
      <c r="J237" s="6" t="b">
        <v>0</v>
      </c>
      <c r="K237" s="6" t="n">
        <v>0</v>
      </c>
      <c r="L237" s="6" t="n">
        <v>0.15</v>
      </c>
      <c r="M237" s="6" t="n">
        <v>0.8951647386620309</v>
      </c>
      <c r="N237" s="6" t="n">
        <v>-0.005403734005747895</v>
      </c>
      <c r="O237" s="6" t="inlineStr"/>
      <c r="P237" s="6" t="n">
        <v>0</v>
      </c>
      <c r="Q237" s="6" t="n">
        <v>0</v>
      </c>
      <c r="R237" s="6" t="n">
        <v>0</v>
      </c>
      <c r="S237" s="6" t="n">
        <v>0</v>
      </c>
      <c r="T237" s="6" t="n">
        <v>0</v>
      </c>
      <c r="U237" s="6" t="n">
        <v>0</v>
      </c>
      <c r="V237" s="9">
        <f>K237*(1-M237)*((1-B237)*L237-B237*'模型说明与假设'!$B$7-'模型说明与假设'!$B$8)</f>
        <v/>
      </c>
      <c r="W237" s="6" t="b">
        <v>0</v>
      </c>
    </row>
    <row r="238">
      <c r="A238" s="6" t="inlineStr">
        <is>
          <t>E323</t>
        </is>
      </c>
      <c r="B238" s="6" t="n">
        <v>0.2446720039920159</v>
      </c>
      <c r="C238" s="6" t="inlineStr">
        <is>
          <t>C</t>
        </is>
      </c>
      <c r="D238" s="6" t="n">
        <v>0.6699425008804905</v>
      </c>
      <c r="E238" s="6" t="n">
        <v>0.1023030020905442</v>
      </c>
      <c r="F238" s="6" t="n">
        <v>0.2076520886541191</v>
      </c>
      <c r="G238" s="6" t="n">
        <v>237</v>
      </c>
      <c r="H238" s="6" t="n">
        <v>159</v>
      </c>
      <c r="I238" s="6" t="inlineStr">
        <is>
          <t>***建筑装饰工程有限公司</t>
        </is>
      </c>
      <c r="J238" s="6" t="b">
        <v>0</v>
      </c>
      <c r="K238" s="6" t="n">
        <v>0</v>
      </c>
      <c r="L238" s="6" t="n">
        <v>0.15</v>
      </c>
      <c r="M238" s="6" t="n">
        <v>0.8951647386620309</v>
      </c>
      <c r="N238" s="6" t="n">
        <v>-0.006133282443194566</v>
      </c>
      <c r="O238" s="6" t="inlineStr"/>
      <c r="P238" s="6" t="n">
        <v>0</v>
      </c>
      <c r="Q238" s="6" t="n">
        <v>0</v>
      </c>
      <c r="R238" s="6" t="n">
        <v>0</v>
      </c>
      <c r="S238" s="6" t="n">
        <v>0</v>
      </c>
      <c r="T238" s="6" t="n">
        <v>0</v>
      </c>
      <c r="U238" s="6" t="n">
        <v>0</v>
      </c>
      <c r="V238" s="9">
        <f>K238*(1-M238)*((1-B238)*L238-B238*'模型说明与假设'!$B$7-'模型说明与假设'!$B$8)</f>
        <v/>
      </c>
      <c r="W238" s="6" t="b">
        <v>0</v>
      </c>
    </row>
    <row r="239">
      <c r="A239" s="6" t="inlineStr">
        <is>
          <t>E350</t>
        </is>
      </c>
      <c r="B239" s="6" t="n">
        <v>0.2482011061531414</v>
      </c>
      <c r="C239" s="6" t="inlineStr">
        <is>
          <t>C</t>
        </is>
      </c>
      <c r="D239" s="6" t="n">
        <v>0.6609993075758169</v>
      </c>
      <c r="E239" s="6" t="n">
        <v>0.1055583400018116</v>
      </c>
      <c r="F239" s="6" t="n">
        <v>0.2058225579160284</v>
      </c>
      <c r="G239" s="6" t="n">
        <v>238</v>
      </c>
      <c r="H239" s="6" t="n">
        <v>168</v>
      </c>
      <c r="I239" s="6" t="inlineStr">
        <is>
          <t>***演艺设备有限公司</t>
        </is>
      </c>
      <c r="J239" s="6" t="b">
        <v>0</v>
      </c>
      <c r="K239" s="6" t="n">
        <v>0</v>
      </c>
      <c r="L239" s="6" t="n">
        <v>0.15</v>
      </c>
      <c r="M239" s="6" t="n">
        <v>0.8951647386620309</v>
      </c>
      <c r="N239" s="6" t="n">
        <v>-0.006410763203707056</v>
      </c>
      <c r="O239" s="6" t="inlineStr"/>
      <c r="P239" s="6" t="n">
        <v>0</v>
      </c>
      <c r="Q239" s="6" t="n">
        <v>0</v>
      </c>
      <c r="R239" s="6" t="n">
        <v>0</v>
      </c>
      <c r="S239" s="6" t="n">
        <v>0</v>
      </c>
      <c r="T239" s="6" t="n">
        <v>0</v>
      </c>
      <c r="U239" s="6" t="n">
        <v>0</v>
      </c>
      <c r="V239" s="9">
        <f>K239*(1-M239)*((1-B239)*L239-B239*'模型说明与假设'!$B$7-'模型说明与假设'!$B$8)</f>
        <v/>
      </c>
      <c r="W239" s="6" t="b">
        <v>0</v>
      </c>
    </row>
    <row r="240">
      <c r="A240" s="6" t="inlineStr">
        <is>
          <t>E379</t>
        </is>
      </c>
      <c r="B240" s="6" t="n">
        <v>0.2584538464880226</v>
      </c>
      <c r="C240" s="6" t="inlineStr">
        <is>
          <t>C</t>
        </is>
      </c>
      <c r="D240" s="6" t="n">
        <v>0.6214080425579221</v>
      </c>
      <c r="E240" s="6" t="n">
        <v>0.1228307481399797</v>
      </c>
      <c r="F240" s="6" t="n">
        <v>0.2016102383243775</v>
      </c>
      <c r="G240" s="6" t="n">
        <v>239</v>
      </c>
      <c r="H240" s="6" t="n">
        <v>204</v>
      </c>
      <c r="I240" s="6" t="inlineStr">
        <is>
          <t>***药业有限公司</t>
        </is>
      </c>
      <c r="J240" s="6" t="b">
        <v>0</v>
      </c>
      <c r="K240" s="6" t="n">
        <v>0</v>
      </c>
      <c r="L240" s="6" t="n">
        <v>0.15</v>
      </c>
      <c r="M240" s="6" t="n">
        <v>0.8951647386620309</v>
      </c>
      <c r="N240" s="6" t="n">
        <v>-0.007216899738035255</v>
      </c>
      <c r="O240" s="6" t="inlineStr"/>
      <c r="P240" s="6" t="n">
        <v>0</v>
      </c>
      <c r="Q240" s="6" t="n">
        <v>0</v>
      </c>
      <c r="R240" s="6" t="n">
        <v>0</v>
      </c>
      <c r="S240" s="6" t="n">
        <v>0</v>
      </c>
      <c r="T240" s="6" t="n">
        <v>0</v>
      </c>
      <c r="U240" s="6" t="n">
        <v>0</v>
      </c>
      <c r="V240" s="9">
        <f>K240*(1-M240)*((1-B240)*L240-B240*'模型说明与假设'!$B$7-'模型说明与假设'!$B$8)</f>
        <v/>
      </c>
      <c r="W240" s="6" t="b">
        <v>0</v>
      </c>
    </row>
    <row r="241">
      <c r="A241" s="6" t="inlineStr">
        <is>
          <t>E389</t>
        </is>
      </c>
      <c r="B241" s="6" t="n">
        <v>0.259512925262934</v>
      </c>
      <c r="C241" s="6" t="inlineStr">
        <is>
          <t>C</t>
        </is>
      </c>
      <c r="D241" s="6" t="n">
        <v>0.5597870153124482</v>
      </c>
      <c r="E241" s="6" t="n">
        <v>0.1519361423230091</v>
      </c>
      <c r="F241" s="6" t="n">
        <v>0.1932062037866773</v>
      </c>
      <c r="G241" s="6" t="n">
        <v>240</v>
      </c>
      <c r="H241" s="6" t="n">
        <v>255</v>
      </c>
      <c r="I241" s="6" t="inlineStr">
        <is>
          <t>***清洁服务有限公司</t>
        </is>
      </c>
      <c r="J241" s="6" t="b">
        <v>0</v>
      </c>
      <c r="K241" s="6" t="n">
        <v>0</v>
      </c>
      <c r="L241" s="6" t="n">
        <v>0.15</v>
      </c>
      <c r="M241" s="6" t="n">
        <v>0.8951647386620309</v>
      </c>
      <c r="N241" s="6" t="n">
        <v>-0.007300171338144258</v>
      </c>
      <c r="O241" s="6" t="inlineStr"/>
      <c r="P241" s="6" t="n">
        <v>0</v>
      </c>
      <c r="Q241" s="6" t="n">
        <v>0</v>
      </c>
      <c r="R241" s="6" t="n">
        <v>0</v>
      </c>
      <c r="S241" s="6" t="n">
        <v>0</v>
      </c>
      <c r="T241" s="6" t="n">
        <v>0</v>
      </c>
      <c r="U241" s="6" t="n">
        <v>0</v>
      </c>
      <c r="V241" s="9">
        <f>K241*(1-M241)*((1-B241)*L241-B241*'模型说明与假设'!$B$7-'模型说明与假设'!$B$8)</f>
        <v/>
      </c>
      <c r="W241" s="6" t="b">
        <v>0</v>
      </c>
    </row>
    <row r="242">
      <c r="A242" s="6" t="inlineStr">
        <is>
          <t>E363</t>
        </is>
      </c>
      <c r="B242" s="6" t="n">
        <v>0.261359383821976</v>
      </c>
      <c r="C242" s="6" t="inlineStr">
        <is>
          <t>C</t>
        </is>
      </c>
      <c r="D242" s="6" t="n">
        <v>0.6285493904199223</v>
      </c>
      <c r="E242" s="6" t="n">
        <v>0.1180918038593001</v>
      </c>
      <c r="F242" s="6" t="n">
        <v>0.1998288047319795</v>
      </c>
      <c r="G242" s="6" t="n">
        <v>241</v>
      </c>
      <c r="H242" s="6" t="n">
        <v>197</v>
      </c>
      <c r="I242" s="6" t="inlineStr">
        <is>
          <t>***建筑工程设计有限公司</t>
        </is>
      </c>
      <c r="J242" s="6" t="b">
        <v>0</v>
      </c>
      <c r="K242" s="6" t="n">
        <v>0</v>
      </c>
      <c r="L242" s="6" t="n">
        <v>0.15</v>
      </c>
      <c r="M242" s="6" t="n">
        <v>0.8951647386620309</v>
      </c>
      <c r="N242" s="6" t="n">
        <v>-0.007445351812334429</v>
      </c>
      <c r="O242" s="6" t="inlineStr"/>
      <c r="P242" s="6" t="n">
        <v>0</v>
      </c>
      <c r="Q242" s="6" t="n">
        <v>0</v>
      </c>
      <c r="R242" s="6" t="n">
        <v>0</v>
      </c>
      <c r="S242" s="6" t="n">
        <v>0</v>
      </c>
      <c r="T242" s="6" t="n">
        <v>0</v>
      </c>
      <c r="U242" s="6" t="n">
        <v>0</v>
      </c>
      <c r="V242" s="9">
        <f>K242*(1-M242)*((1-B242)*L242-B242*'模型说明与假设'!$B$7-'模型说明与假设'!$B$8)</f>
        <v/>
      </c>
      <c r="W242" s="6" t="b">
        <v>0</v>
      </c>
    </row>
    <row r="243">
      <c r="A243" s="6" t="inlineStr">
        <is>
          <t>E403</t>
        </is>
      </c>
      <c r="B243" s="6" t="n">
        <v>0.2691455092163904</v>
      </c>
      <c r="C243" s="6" t="inlineStr">
        <is>
          <t>C</t>
        </is>
      </c>
      <c r="D243" s="6" t="n">
        <v>0.6212373302897494</v>
      </c>
      <c r="E243" s="6" t="n">
        <v>0.1259434095419049</v>
      </c>
      <c r="F243" s="6" t="n">
        <v>0.2065693210243102</v>
      </c>
      <c r="G243" s="6" t="n">
        <v>242</v>
      </c>
      <c r="H243" s="6" t="n">
        <v>205</v>
      </c>
      <c r="I243" s="6" t="inlineStr">
        <is>
          <t>***机械有限公司</t>
        </is>
      </c>
      <c r="J243" s="6" t="b">
        <v>0</v>
      </c>
      <c r="K243" s="6" t="n">
        <v>0</v>
      </c>
      <c r="L243" s="6" t="n">
        <v>0.15</v>
      </c>
      <c r="M243" s="6" t="n">
        <v>0.8951647386620309</v>
      </c>
      <c r="N243" s="6" t="n">
        <v>-0.00805754718023465</v>
      </c>
      <c r="O243" s="6" t="inlineStr"/>
      <c r="P243" s="6" t="n">
        <v>0</v>
      </c>
      <c r="Q243" s="6" t="n">
        <v>0</v>
      </c>
      <c r="R243" s="6" t="n">
        <v>0</v>
      </c>
      <c r="S243" s="6" t="n">
        <v>0</v>
      </c>
      <c r="T243" s="6" t="n">
        <v>0</v>
      </c>
      <c r="U243" s="6" t="n">
        <v>0</v>
      </c>
      <c r="V243" s="9">
        <f>K243*(1-M243)*((1-B243)*L243-B243*'模型说明与假设'!$B$7-'模型说明与假设'!$B$8)</f>
        <v/>
      </c>
      <c r="W243" s="6" t="b">
        <v>0</v>
      </c>
    </row>
    <row r="244">
      <c r="A244" s="6" t="inlineStr">
        <is>
          <t>E409</t>
        </is>
      </c>
      <c r="B244" s="6" t="n">
        <v>0.2712380138984369</v>
      </c>
      <c r="C244" s="6" t="inlineStr">
        <is>
          <t>C</t>
        </is>
      </c>
      <c r="D244" s="6" t="n">
        <v>0.599858965581021</v>
      </c>
      <c r="E244" s="6" t="n">
        <v>0.1321611541999087</v>
      </c>
      <c r="F244" s="6" t="n">
        <v>0.1981252769125917</v>
      </c>
      <c r="G244" s="6" t="n">
        <v>243</v>
      </c>
      <c r="H244" s="6" t="n">
        <v>225</v>
      </c>
      <c r="I244" s="6" t="inlineStr">
        <is>
          <t>***塑胶有限公司</t>
        </is>
      </c>
      <c r="J244" s="6" t="b">
        <v>0</v>
      </c>
      <c r="K244" s="6" t="n">
        <v>0</v>
      </c>
      <c r="L244" s="6" t="n">
        <v>0.15</v>
      </c>
      <c r="M244" s="6" t="n">
        <v>0.8951647386620309</v>
      </c>
      <c r="N244" s="6" t="n">
        <v>-0.008222073386629605</v>
      </c>
      <c r="O244" s="6" t="inlineStr"/>
      <c r="P244" s="6" t="n">
        <v>0</v>
      </c>
      <c r="Q244" s="6" t="n">
        <v>0</v>
      </c>
      <c r="R244" s="6" t="n">
        <v>0</v>
      </c>
      <c r="S244" s="6" t="n">
        <v>0</v>
      </c>
      <c r="T244" s="6" t="n">
        <v>0</v>
      </c>
      <c r="U244" s="6" t="n">
        <v>0</v>
      </c>
      <c r="V244" s="9">
        <f>K244*(1-M244)*((1-B244)*L244-B244*'模型说明与假设'!$B$7-'模型说明与假设'!$B$8)</f>
        <v/>
      </c>
      <c r="W244" s="6" t="b">
        <v>0</v>
      </c>
    </row>
    <row r="245">
      <c r="A245" s="6" t="inlineStr">
        <is>
          <t>E293</t>
        </is>
      </c>
      <c r="B245" s="6" t="n">
        <v>0.2755144608310387</v>
      </c>
      <c r="C245" s="6" t="inlineStr">
        <is>
          <t>C</t>
        </is>
      </c>
      <c r="D245" s="6" t="n">
        <v>0.6180334962965813</v>
      </c>
      <c r="E245" s="6" t="n">
        <v>0.1206463155213185</v>
      </c>
      <c r="F245" s="6" t="n">
        <v>0.1952094319109103</v>
      </c>
      <c r="G245" s="6" t="n">
        <v>244</v>
      </c>
      <c r="H245" s="6" t="n">
        <v>207</v>
      </c>
      <c r="I245" s="6" t="inlineStr">
        <is>
          <t>***物资有限公司</t>
        </is>
      </c>
      <c r="J245" s="6" t="b">
        <v>0</v>
      </c>
      <c r="K245" s="6" t="n">
        <v>0</v>
      </c>
      <c r="L245" s="6" t="n">
        <v>0.15</v>
      </c>
      <c r="M245" s="6" t="n">
        <v>0.8951647386620309</v>
      </c>
      <c r="N245" s="6" t="n">
        <v>-0.008558315210462554</v>
      </c>
      <c r="O245" s="6" t="inlineStr"/>
      <c r="P245" s="6" t="n">
        <v>0</v>
      </c>
      <c r="Q245" s="6" t="n">
        <v>0</v>
      </c>
      <c r="R245" s="6" t="n">
        <v>0</v>
      </c>
      <c r="S245" s="6" t="n">
        <v>0</v>
      </c>
      <c r="T245" s="6" t="n">
        <v>0</v>
      </c>
      <c r="U245" s="6" t="n">
        <v>0</v>
      </c>
      <c r="V245" s="9">
        <f>K245*(1-M245)*((1-B245)*L245-B245*'模型说明与假设'!$B$7-'模型说明与假设'!$B$8)</f>
        <v/>
      </c>
      <c r="W245" s="6" t="b">
        <v>0</v>
      </c>
    </row>
    <row r="246">
      <c r="A246" s="6" t="inlineStr">
        <is>
          <t>E324</t>
        </is>
      </c>
      <c r="B246" s="6" t="n">
        <v>0.2827724170314503</v>
      </c>
      <c r="C246" s="6" t="inlineStr">
        <is>
          <t>C</t>
        </is>
      </c>
      <c r="D246" s="6" t="n">
        <v>0.4789334280141597</v>
      </c>
      <c r="E246" s="6" t="n">
        <v>0.1845520025227158</v>
      </c>
      <c r="F246" s="6" t="n">
        <v>0.1696292335127651</v>
      </c>
      <c r="G246" s="6" t="n">
        <v>245</v>
      </c>
      <c r="H246" s="6" t="n">
        <v>289</v>
      </c>
      <c r="I246" s="6" t="inlineStr">
        <is>
          <t>***汽贸有限公司</t>
        </is>
      </c>
      <c r="J246" s="6" t="b">
        <v>0</v>
      </c>
      <c r="K246" s="6" t="n">
        <v>0</v>
      </c>
      <c r="L246" s="6" t="n">
        <v>0.15</v>
      </c>
      <c r="M246" s="6" t="n">
        <v>0.8951647386620309</v>
      </c>
      <c r="N246" s="6" t="n">
        <v>-0.009128982511749815</v>
      </c>
      <c r="O246" s="6" t="inlineStr"/>
      <c r="P246" s="6" t="n">
        <v>0</v>
      </c>
      <c r="Q246" s="6" t="n">
        <v>0</v>
      </c>
      <c r="R246" s="6" t="n">
        <v>0</v>
      </c>
      <c r="S246" s="6" t="n">
        <v>0</v>
      </c>
      <c r="T246" s="6" t="n">
        <v>0</v>
      </c>
      <c r="U246" s="6" t="n">
        <v>0</v>
      </c>
      <c r="V246" s="9">
        <f>K246*(1-M246)*((1-B246)*L246-B246*'模型说明与假设'!$B$7-'模型说明与假设'!$B$8)</f>
        <v/>
      </c>
      <c r="W246" s="6" t="b">
        <v>0</v>
      </c>
    </row>
    <row r="247">
      <c r="A247" s="6" t="inlineStr">
        <is>
          <t>E362</t>
        </is>
      </c>
      <c r="B247" s="6" t="n">
        <v>0.3013264139236129</v>
      </c>
      <c r="C247" s="6" t="inlineStr">
        <is>
          <t>C</t>
        </is>
      </c>
      <c r="D247" s="6" t="n">
        <v>0.5765258013562131</v>
      </c>
      <c r="E247" s="6" t="n">
        <v>0.1414329026330095</v>
      </c>
      <c r="F247" s="6" t="n">
        <v>0.1925494346285302</v>
      </c>
      <c r="G247" s="6" t="n">
        <v>246</v>
      </c>
      <c r="H247" s="6" t="n">
        <v>244</v>
      </c>
      <c r="I247" s="6" t="inlineStr">
        <is>
          <t>***建材有限公司</t>
        </is>
      </c>
      <c r="J247" s="6" t="b">
        <v>0</v>
      </c>
      <c r="K247" s="6" t="n">
        <v>0</v>
      </c>
      <c r="L247" s="6" t="n">
        <v>0.15</v>
      </c>
      <c r="M247" s="6" t="n">
        <v>0.8951647386620309</v>
      </c>
      <c r="N247" s="6" t="n">
        <v>-0.01058781734654012</v>
      </c>
      <c r="O247" s="6" t="inlineStr"/>
      <c r="P247" s="6" t="n">
        <v>0</v>
      </c>
      <c r="Q247" s="6" t="n">
        <v>0</v>
      </c>
      <c r="R247" s="6" t="n">
        <v>0</v>
      </c>
      <c r="S247" s="6" t="n">
        <v>0</v>
      </c>
      <c r="T247" s="6" t="n">
        <v>0</v>
      </c>
      <c r="U247" s="6" t="n">
        <v>0</v>
      </c>
      <c r="V247" s="9">
        <f>K247*(1-M247)*((1-B247)*L247-B247*'模型说明与假设'!$B$7-'模型说明与假设'!$B$8)</f>
        <v/>
      </c>
      <c r="W247" s="6" t="b">
        <v>0</v>
      </c>
    </row>
    <row r="248">
      <c r="A248" s="6" t="inlineStr">
        <is>
          <t>E395</t>
        </is>
      </c>
      <c r="B248" s="6" t="n">
        <v>0.3020274060329839</v>
      </c>
      <c r="C248" s="6" t="inlineStr">
        <is>
          <t>C</t>
        </is>
      </c>
      <c r="D248" s="6" t="n">
        <v>0.6006812532041108</v>
      </c>
      <c r="E248" s="6" t="n">
        <v>0.1341912883048706</v>
      </c>
      <c r="F248" s="6" t="n">
        <v>0.2018592712584203</v>
      </c>
      <c r="G248" s="6" t="n">
        <v>247</v>
      </c>
      <c r="H248" s="6" t="n">
        <v>221</v>
      </c>
      <c r="I248" s="6" t="inlineStr">
        <is>
          <t>***网络科技有限公司</t>
        </is>
      </c>
      <c r="J248" s="6" t="b">
        <v>0</v>
      </c>
      <c r="K248" s="6" t="n">
        <v>0</v>
      </c>
      <c r="L248" s="6" t="n">
        <v>0.15</v>
      </c>
      <c r="M248" s="6" t="n">
        <v>0.8951647386620309</v>
      </c>
      <c r="N248" s="6" t="n">
        <v>-0.01064293386477644</v>
      </c>
      <c r="O248" s="6" t="inlineStr"/>
      <c r="P248" s="6" t="n">
        <v>0</v>
      </c>
      <c r="Q248" s="6" t="n">
        <v>0</v>
      </c>
      <c r="R248" s="6" t="n">
        <v>0</v>
      </c>
      <c r="S248" s="6" t="n">
        <v>0</v>
      </c>
      <c r="T248" s="6" t="n">
        <v>0</v>
      </c>
      <c r="U248" s="6" t="n">
        <v>0</v>
      </c>
      <c r="V248" s="9">
        <f>K248*(1-M248)*((1-B248)*L248-B248*'模型说明与假设'!$B$7-'模型说明与假设'!$B$8)</f>
        <v/>
      </c>
      <c r="W248" s="6" t="b">
        <v>0</v>
      </c>
    </row>
    <row r="249">
      <c r="A249" s="6" t="inlineStr">
        <is>
          <t>E297</t>
        </is>
      </c>
      <c r="B249" s="6" t="n">
        <v>0.3023245740474428</v>
      </c>
      <c r="C249" s="6" t="inlineStr">
        <is>
          <t>C</t>
        </is>
      </c>
      <c r="D249" s="6" t="n">
        <v>0.5907729447122785</v>
      </c>
      <c r="E249" s="6" t="n">
        <v>0.1313799159352259</v>
      </c>
      <c r="F249" s="6" t="n">
        <v>0.1896641456380115</v>
      </c>
      <c r="G249" s="6" t="n">
        <v>248</v>
      </c>
      <c r="H249" s="6" t="n">
        <v>231</v>
      </c>
      <c r="I249" s="6" t="inlineStr">
        <is>
          <t>***建筑机械租赁有限公司</t>
        </is>
      </c>
      <c r="J249" s="6" t="b">
        <v>0</v>
      </c>
      <c r="K249" s="6" t="n">
        <v>0</v>
      </c>
      <c r="L249" s="6" t="n">
        <v>0.15</v>
      </c>
      <c r="M249" s="6" t="n">
        <v>0.8951647386620309</v>
      </c>
      <c r="N249" s="6" t="n">
        <v>-0.01066629912961925</v>
      </c>
      <c r="O249" s="6" t="inlineStr"/>
      <c r="P249" s="6" t="n">
        <v>0</v>
      </c>
      <c r="Q249" s="6" t="n">
        <v>0</v>
      </c>
      <c r="R249" s="6" t="n">
        <v>0</v>
      </c>
      <c r="S249" s="6" t="n">
        <v>0</v>
      </c>
      <c r="T249" s="6" t="n">
        <v>0</v>
      </c>
      <c r="U249" s="6" t="n">
        <v>0</v>
      </c>
      <c r="V249" s="9">
        <f>K249*(1-M249)*((1-B249)*L249-B249*'模型说明与假设'!$B$7-'模型说明与假设'!$B$8)</f>
        <v/>
      </c>
      <c r="W249" s="6" t="b">
        <v>0</v>
      </c>
    </row>
    <row r="250">
      <c r="A250" s="6" t="inlineStr">
        <is>
          <t>E366</t>
        </is>
      </c>
      <c r="B250" s="6" t="n">
        <v>0.3058100569018604</v>
      </c>
      <c r="C250" s="6" t="inlineStr">
        <is>
          <t>C</t>
        </is>
      </c>
      <c r="D250" s="6" t="n">
        <v>0.5647633403194761</v>
      </c>
      <c r="E250" s="6" t="n">
        <v>0.1450382933596849</v>
      </c>
      <c r="F250" s="6" t="n">
        <v>0.1882017730128195</v>
      </c>
      <c r="G250" s="6" t="n">
        <v>249</v>
      </c>
      <c r="H250" s="6" t="n">
        <v>254</v>
      </c>
      <c r="I250" s="6" t="inlineStr">
        <is>
          <t>***房地产经纪有限公司</t>
        </is>
      </c>
      <c r="J250" s="6" t="b">
        <v>0</v>
      </c>
      <c r="K250" s="6" t="n">
        <v>0</v>
      </c>
      <c r="L250" s="6" t="n">
        <v>0.15</v>
      </c>
      <c r="M250" s="6" t="n">
        <v>0.8951647386620309</v>
      </c>
      <c r="N250" s="6" t="n">
        <v>-0.01094035025906816</v>
      </c>
      <c r="O250" s="6" t="inlineStr"/>
      <c r="P250" s="6" t="n">
        <v>0</v>
      </c>
      <c r="Q250" s="6" t="n">
        <v>0</v>
      </c>
      <c r="R250" s="6" t="n">
        <v>0</v>
      </c>
      <c r="S250" s="6" t="n">
        <v>0</v>
      </c>
      <c r="T250" s="6" t="n">
        <v>0</v>
      </c>
      <c r="U250" s="6" t="n">
        <v>0</v>
      </c>
      <c r="V250" s="9">
        <f>K250*(1-M250)*((1-B250)*L250-B250*'模型说明与假设'!$B$7-'模型说明与假设'!$B$8)</f>
        <v/>
      </c>
      <c r="W250" s="6" t="b">
        <v>0</v>
      </c>
    </row>
    <row r="251">
      <c r="A251" s="6" t="inlineStr">
        <is>
          <t>E407</t>
        </is>
      </c>
      <c r="B251" s="6" t="n">
        <v>0.3070265209249267</v>
      </c>
      <c r="C251" s="6" t="inlineStr">
        <is>
          <t>C</t>
        </is>
      </c>
      <c r="D251" s="6" t="n">
        <v>0.6244786294369015</v>
      </c>
      <c r="E251" s="6" t="n">
        <v>0.1202017470630364</v>
      </c>
      <c r="F251" s="6" t="n">
        <v>0.1998912129802031</v>
      </c>
      <c r="G251" s="6" t="n">
        <v>250</v>
      </c>
      <c r="H251" s="6" t="n">
        <v>201</v>
      </c>
      <c r="I251" s="6" t="inlineStr">
        <is>
          <t>***装饰工程有限公司</t>
        </is>
      </c>
      <c r="J251" s="6" t="b">
        <v>0</v>
      </c>
      <c r="K251" s="6" t="n">
        <v>0</v>
      </c>
      <c r="L251" s="6" t="n">
        <v>0.15</v>
      </c>
      <c r="M251" s="6" t="n">
        <v>0.8951647386620309</v>
      </c>
      <c r="N251" s="6" t="n">
        <v>-0.01103599650189296</v>
      </c>
      <c r="O251" s="6" t="inlineStr"/>
      <c r="P251" s="6" t="n">
        <v>0</v>
      </c>
      <c r="Q251" s="6" t="n">
        <v>0</v>
      </c>
      <c r="R251" s="6" t="n">
        <v>0</v>
      </c>
      <c r="S251" s="6" t="n">
        <v>0</v>
      </c>
      <c r="T251" s="6" t="n">
        <v>0</v>
      </c>
      <c r="U251" s="6" t="n">
        <v>0</v>
      </c>
      <c r="V251" s="9">
        <f>K251*(1-M251)*((1-B251)*L251-B251*'模型说明与假设'!$B$7-'模型说明与假设'!$B$8)</f>
        <v/>
      </c>
      <c r="W251" s="6" t="b">
        <v>0</v>
      </c>
    </row>
    <row r="252">
      <c r="A252" s="6" t="inlineStr">
        <is>
          <t>E361</t>
        </is>
      </c>
      <c r="B252" s="6" t="n">
        <v>0.3139520657399521</v>
      </c>
      <c r="C252" s="6" t="inlineStr">
        <is>
          <t>C</t>
        </is>
      </c>
      <c r="D252" s="6" t="n">
        <v>0.6121812065019347</v>
      </c>
      <c r="E252" s="6" t="n">
        <v>0.1221516275673507</v>
      </c>
      <c r="F252" s="6" t="n">
        <v>0.1928192547500378</v>
      </c>
      <c r="G252" s="6" t="n">
        <v>251</v>
      </c>
      <c r="H252" s="6" t="n">
        <v>213</v>
      </c>
      <c r="I252" s="6" t="inlineStr">
        <is>
          <t>***勘察设计工程有限公司</t>
        </is>
      </c>
      <c r="J252" s="6" t="b">
        <v>0</v>
      </c>
      <c r="K252" s="6" t="n">
        <v>0</v>
      </c>
      <c r="L252" s="6" t="n">
        <v>0.15</v>
      </c>
      <c r="M252" s="6" t="n">
        <v>0.8951647386620309</v>
      </c>
      <c r="N252" s="6" t="n">
        <v>-0.01158052747733621</v>
      </c>
      <c r="O252" s="6" t="inlineStr"/>
      <c r="P252" s="6" t="n">
        <v>0</v>
      </c>
      <c r="Q252" s="6" t="n">
        <v>0</v>
      </c>
      <c r="R252" s="6" t="n">
        <v>0</v>
      </c>
      <c r="S252" s="6" t="n">
        <v>0</v>
      </c>
      <c r="T252" s="6" t="n">
        <v>0</v>
      </c>
      <c r="U252" s="6" t="n">
        <v>0</v>
      </c>
      <c r="V252" s="9">
        <f>K252*(1-M252)*((1-B252)*L252-B252*'模型说明与假设'!$B$7-'模型说明与假设'!$B$8)</f>
        <v/>
      </c>
      <c r="W252" s="6" t="b">
        <v>0</v>
      </c>
    </row>
    <row r="253">
      <c r="A253" s="6" t="inlineStr">
        <is>
          <t>E218</t>
        </is>
      </c>
      <c r="B253" s="6" t="n">
        <v>0.3251757552314864</v>
      </c>
      <c r="C253" s="6" t="inlineStr">
        <is>
          <t>C</t>
        </is>
      </c>
      <c r="D253" s="6" t="n">
        <v>0.5349745795604217</v>
      </c>
      <c r="E253" s="6" t="n">
        <v>0.1532922059157358</v>
      </c>
      <c r="F253" s="6" t="n">
        <v>0.1763504311917841</v>
      </c>
      <c r="G253" s="6" t="n">
        <v>252</v>
      </c>
      <c r="H253" s="6" t="n">
        <v>269</v>
      </c>
      <c r="I253" s="6" t="inlineStr">
        <is>
          <t>***建设工程有限公司</t>
        </is>
      </c>
      <c r="J253" s="6" t="b">
        <v>0</v>
      </c>
      <c r="K253" s="6" t="n">
        <v>0</v>
      </c>
      <c r="L253" s="6" t="n">
        <v>0.15</v>
      </c>
      <c r="M253" s="6" t="n">
        <v>0.8951647386620309</v>
      </c>
      <c r="N253" s="6" t="n">
        <v>-0.01246300629310212</v>
      </c>
      <c r="O253" s="6" t="inlineStr"/>
      <c r="P253" s="6" t="n">
        <v>0</v>
      </c>
      <c r="Q253" s="6" t="n">
        <v>0</v>
      </c>
      <c r="R253" s="6" t="n">
        <v>0</v>
      </c>
      <c r="S253" s="6" t="n">
        <v>0</v>
      </c>
      <c r="T253" s="6" t="n">
        <v>0</v>
      </c>
      <c r="U253" s="6" t="n">
        <v>0</v>
      </c>
      <c r="V253" s="9">
        <f>K253*(1-M253)*((1-B253)*L253-B253*'模型说明与假设'!$B$7-'模型说明与假设'!$B$8)</f>
        <v/>
      </c>
      <c r="W253" s="6" t="b">
        <v>0</v>
      </c>
    </row>
    <row r="254">
      <c r="A254" s="6" t="inlineStr">
        <is>
          <t>E383</t>
        </is>
      </c>
      <c r="B254" s="6" t="n">
        <v>0.3283354696535811</v>
      </c>
      <c r="C254" s="6" t="inlineStr">
        <is>
          <t>C</t>
        </is>
      </c>
      <c r="D254" s="6" t="n">
        <v>0.5378613134812951</v>
      </c>
      <c r="E254" s="6" t="n">
        <v>0.1536498009866505</v>
      </c>
      <c r="F254" s="6" t="n">
        <v>0.1788257209050479</v>
      </c>
      <c r="G254" s="6" t="n">
        <v>253</v>
      </c>
      <c r="H254" s="6" t="n">
        <v>266</v>
      </c>
      <c r="I254" s="6" t="inlineStr">
        <is>
          <t>***通讯器材经营部</t>
        </is>
      </c>
      <c r="J254" s="6" t="b">
        <v>0</v>
      </c>
      <c r="K254" s="6" t="n">
        <v>0</v>
      </c>
      <c r="L254" s="6" t="n">
        <v>0.15</v>
      </c>
      <c r="M254" s="6" t="n">
        <v>0.8951647386620309</v>
      </c>
      <c r="N254" s="6" t="n">
        <v>-0.01271144340849736</v>
      </c>
      <c r="O254" s="6" t="inlineStr"/>
      <c r="P254" s="6" t="n">
        <v>0</v>
      </c>
      <c r="Q254" s="6" t="n">
        <v>0</v>
      </c>
      <c r="R254" s="6" t="n">
        <v>0</v>
      </c>
      <c r="S254" s="6" t="n">
        <v>0</v>
      </c>
      <c r="T254" s="6" t="n">
        <v>0</v>
      </c>
      <c r="U254" s="6" t="n">
        <v>0</v>
      </c>
      <c r="V254" s="9">
        <f>K254*(1-M254)*((1-B254)*L254-B254*'模型说明与假设'!$B$7-'模型说明与假设'!$B$8)</f>
        <v/>
      </c>
      <c r="W254" s="6" t="b">
        <v>0</v>
      </c>
    </row>
    <row r="255">
      <c r="A255" s="6" t="inlineStr">
        <is>
          <t>E386</t>
        </is>
      </c>
      <c r="B255" s="6" t="n">
        <v>0.3307346975525242</v>
      </c>
      <c r="C255" s="6" t="inlineStr">
        <is>
          <t>C</t>
        </is>
      </c>
      <c r="D255" s="6" t="n">
        <v>0.6005362604217467</v>
      </c>
      <c r="E255" s="6" t="n">
        <v>0.1325653279487723</v>
      </c>
      <c r="F255" s="6" t="n">
        <v>0.1992928980036819</v>
      </c>
      <c r="G255" s="6" t="n">
        <v>254</v>
      </c>
      <c r="H255" s="6" t="n">
        <v>222</v>
      </c>
      <c r="I255" s="6" t="inlineStr">
        <is>
          <t xml:space="preserve">个体经营E386 </t>
        </is>
      </c>
      <c r="J255" s="6" t="b">
        <v>0</v>
      </c>
      <c r="K255" s="6" t="n">
        <v>0</v>
      </c>
      <c r="L255" s="6" t="n">
        <v>0.15</v>
      </c>
      <c r="M255" s="6" t="n">
        <v>0.8951647386620309</v>
      </c>
      <c r="N255" s="6" t="n">
        <v>-0.01290008617134364</v>
      </c>
      <c r="O255" s="6" t="inlineStr"/>
      <c r="P255" s="6" t="n">
        <v>0</v>
      </c>
      <c r="Q255" s="6" t="n">
        <v>0</v>
      </c>
      <c r="R255" s="6" t="n">
        <v>0</v>
      </c>
      <c r="S255" s="6" t="n">
        <v>0</v>
      </c>
      <c r="T255" s="6" t="n">
        <v>0</v>
      </c>
      <c r="U255" s="6" t="n">
        <v>0</v>
      </c>
      <c r="V255" s="9">
        <f>K255*(1-M255)*((1-B255)*L255-B255*'模型说明与假设'!$B$7-'模型说明与假设'!$B$8)</f>
        <v/>
      </c>
      <c r="W255" s="6" t="b">
        <v>0</v>
      </c>
    </row>
    <row r="256">
      <c r="A256" s="6" t="inlineStr">
        <is>
          <t>E320</t>
        </is>
      </c>
      <c r="B256" s="6" t="n">
        <v>0.3388030447409975</v>
      </c>
      <c r="C256" s="6" t="inlineStr">
        <is>
          <t>C</t>
        </is>
      </c>
      <c r="D256" s="6" t="n">
        <v>0.5839294448320695</v>
      </c>
      <c r="E256" s="6" t="n">
        <v>0.1351009076211233</v>
      </c>
      <c r="F256" s="6" t="n">
        <v>0.1896058180605225</v>
      </c>
      <c r="G256" s="6" t="n">
        <v>255</v>
      </c>
      <c r="H256" s="6" t="n">
        <v>237</v>
      </c>
      <c r="I256" s="6" t="inlineStr">
        <is>
          <t>***建筑设计有限公司</t>
        </is>
      </c>
      <c r="J256" s="6" t="b">
        <v>0</v>
      </c>
      <c r="K256" s="6" t="n">
        <v>0</v>
      </c>
      <c r="L256" s="6" t="n">
        <v>0.15</v>
      </c>
      <c r="M256" s="6" t="n">
        <v>0.8951647386620309</v>
      </c>
      <c r="N256" s="6" t="n">
        <v>-0.01353447163589544</v>
      </c>
      <c r="O256" s="6" t="inlineStr"/>
      <c r="P256" s="6" t="n">
        <v>0</v>
      </c>
      <c r="Q256" s="6" t="n">
        <v>0</v>
      </c>
      <c r="R256" s="6" t="n">
        <v>0</v>
      </c>
      <c r="S256" s="6" t="n">
        <v>0</v>
      </c>
      <c r="T256" s="6" t="n">
        <v>0</v>
      </c>
      <c r="U256" s="6" t="n">
        <v>0</v>
      </c>
      <c r="V256" s="9">
        <f>K256*(1-M256)*((1-B256)*L256-B256*'模型说明与假设'!$B$7-'模型说明与假设'!$B$8)</f>
        <v/>
      </c>
      <c r="W256" s="6" t="b">
        <v>0</v>
      </c>
    </row>
    <row r="257">
      <c r="A257" s="6" t="inlineStr">
        <is>
          <t>E307</t>
        </is>
      </c>
      <c r="B257" s="6" t="n">
        <v>0.3435042539534332</v>
      </c>
      <c r="C257" s="6" t="inlineStr">
        <is>
          <t>C</t>
        </is>
      </c>
      <c r="D257" s="6" t="n">
        <v>0.6119538236392901</v>
      </c>
      <c r="E257" s="6" t="n">
        <v>0.1265921957027503</v>
      </c>
      <c r="F257" s="6" t="n">
        <v>0.1996375249196634</v>
      </c>
      <c r="G257" s="6" t="n">
        <v>256</v>
      </c>
      <c r="H257" s="6" t="n">
        <v>214</v>
      </c>
      <c r="I257" s="6" t="inlineStr">
        <is>
          <t>***通信工程有限公司</t>
        </is>
      </c>
      <c r="J257" s="6" t="b">
        <v>0</v>
      </c>
      <c r="K257" s="6" t="n">
        <v>0</v>
      </c>
      <c r="L257" s="6" t="n">
        <v>0.15</v>
      </c>
      <c r="M257" s="6" t="n">
        <v>0.8951647386620309</v>
      </c>
      <c r="N257" s="6" t="n">
        <v>-0.01390411100818806</v>
      </c>
      <c r="O257" s="6" t="inlineStr"/>
      <c r="P257" s="6" t="n">
        <v>0</v>
      </c>
      <c r="Q257" s="6" t="n">
        <v>0</v>
      </c>
      <c r="R257" s="6" t="n">
        <v>0</v>
      </c>
      <c r="S257" s="6" t="n">
        <v>0</v>
      </c>
      <c r="T257" s="6" t="n">
        <v>0</v>
      </c>
      <c r="U257" s="6" t="n">
        <v>0</v>
      </c>
      <c r="V257" s="9">
        <f>K257*(1-M257)*((1-B257)*L257-B257*'模型说明与假设'!$B$7-'模型说明与假设'!$B$8)</f>
        <v/>
      </c>
      <c r="W257" s="6" t="b">
        <v>0</v>
      </c>
    </row>
    <row r="258">
      <c r="A258" s="6" t="inlineStr">
        <is>
          <t>E365</t>
        </is>
      </c>
      <c r="B258" s="6" t="n">
        <v>0.35072915706738</v>
      </c>
      <c r="C258" s="6" t="inlineStr">
        <is>
          <t>C</t>
        </is>
      </c>
      <c r="D258" s="6" t="n">
        <v>0.5839669200410965</v>
      </c>
      <c r="E258" s="6" t="n">
        <v>0.1356058707298333</v>
      </c>
      <c r="F258" s="6" t="n">
        <v>0.1903438608233131</v>
      </c>
      <c r="G258" s="6" t="n">
        <v>257</v>
      </c>
      <c r="H258" s="6" t="n">
        <v>236</v>
      </c>
      <c r="I258" s="6" t="inlineStr">
        <is>
          <t>***信息技术有限公司</t>
        </is>
      </c>
      <c r="J258" s="6" t="b">
        <v>0</v>
      </c>
      <c r="K258" s="6" t="n">
        <v>0</v>
      </c>
      <c r="L258" s="6" t="n">
        <v>0.15</v>
      </c>
      <c r="M258" s="6" t="n">
        <v>0.8951647386620309</v>
      </c>
      <c r="N258" s="6" t="n">
        <v>-0.01447217946275715</v>
      </c>
      <c r="O258" s="6" t="inlineStr"/>
      <c r="P258" s="6" t="n">
        <v>0</v>
      </c>
      <c r="Q258" s="6" t="n">
        <v>0</v>
      </c>
      <c r="R258" s="6" t="n">
        <v>0</v>
      </c>
      <c r="S258" s="6" t="n">
        <v>0</v>
      </c>
      <c r="T258" s="6" t="n">
        <v>0</v>
      </c>
      <c r="U258" s="6" t="n">
        <v>0</v>
      </c>
      <c r="V258" s="9">
        <f>K258*(1-M258)*((1-B258)*L258-B258*'模型说明与假设'!$B$7-'模型说明与假设'!$B$8)</f>
        <v/>
      </c>
      <c r="W258" s="6" t="b">
        <v>0</v>
      </c>
    </row>
    <row r="259">
      <c r="A259" s="6" t="inlineStr">
        <is>
          <t>E398</t>
        </is>
      </c>
      <c r="B259" s="6" t="n">
        <v>0.3524381921142363</v>
      </c>
      <c r="C259" s="6" t="inlineStr">
        <is>
          <t>C</t>
        </is>
      </c>
      <c r="D259" s="6" t="n">
        <v>0.6163358015268665</v>
      </c>
      <c r="E259" s="6" t="n">
        <v>0.1276465683617133</v>
      </c>
      <c r="F259" s="6" t="n">
        <v>0.2050573140169598</v>
      </c>
      <c r="G259" s="6" t="n">
        <v>258</v>
      </c>
      <c r="H259" s="6" t="n">
        <v>210</v>
      </c>
      <c r="I259" s="6" t="inlineStr">
        <is>
          <t>***医疗管理咨询有限公司</t>
        </is>
      </c>
      <c r="J259" s="6" t="b">
        <v>0</v>
      </c>
      <c r="K259" s="6" t="n">
        <v>0</v>
      </c>
      <c r="L259" s="6" t="n">
        <v>0.15</v>
      </c>
      <c r="M259" s="6" t="n">
        <v>0.8951647386620309</v>
      </c>
      <c r="N259" s="6" t="n">
        <v>-0.01460655481458685</v>
      </c>
      <c r="O259" s="6" t="inlineStr"/>
      <c r="P259" s="6" t="n">
        <v>0</v>
      </c>
      <c r="Q259" s="6" t="n">
        <v>0</v>
      </c>
      <c r="R259" s="6" t="n">
        <v>0</v>
      </c>
      <c r="S259" s="6" t="n">
        <v>0</v>
      </c>
      <c r="T259" s="6" t="n">
        <v>0</v>
      </c>
      <c r="U259" s="6" t="n">
        <v>0</v>
      </c>
      <c r="V259" s="9">
        <f>K259*(1-M259)*((1-B259)*L259-B259*'模型说明与假设'!$B$7-'模型说明与假设'!$B$8)</f>
        <v/>
      </c>
      <c r="W259" s="6" t="b">
        <v>0</v>
      </c>
    </row>
    <row r="260">
      <c r="A260" s="6" t="inlineStr">
        <is>
          <t>E352</t>
        </is>
      </c>
      <c r="B260" s="6" t="n">
        <v>0.3526378594232936</v>
      </c>
      <c r="C260" s="6" t="inlineStr">
        <is>
          <t>C</t>
        </is>
      </c>
      <c r="D260" s="6" t="n">
        <v>0.4577716892109371</v>
      </c>
      <c r="E260" s="6" t="n">
        <v>0.1904145641194364</v>
      </c>
      <c r="F260" s="6" t="n">
        <v>0.1607558936575484</v>
      </c>
      <c r="G260" s="6" t="n">
        <v>259</v>
      </c>
      <c r="H260" s="6" t="n">
        <v>291</v>
      </c>
      <c r="I260" s="6" t="inlineStr">
        <is>
          <t>***居装饰工程有限公司</t>
        </is>
      </c>
      <c r="J260" s="6" t="b">
        <v>0</v>
      </c>
      <c r="K260" s="6" t="n">
        <v>0</v>
      </c>
      <c r="L260" s="6" t="n">
        <v>0.15</v>
      </c>
      <c r="M260" s="6" t="n">
        <v>0.8951647386620309</v>
      </c>
      <c r="N260" s="6" t="n">
        <v>-0.0146222539454811</v>
      </c>
      <c r="O260" s="6" t="inlineStr"/>
      <c r="P260" s="6" t="n">
        <v>0</v>
      </c>
      <c r="Q260" s="6" t="n">
        <v>0</v>
      </c>
      <c r="R260" s="6" t="n">
        <v>0</v>
      </c>
      <c r="S260" s="6" t="n">
        <v>0</v>
      </c>
      <c r="T260" s="6" t="n">
        <v>0</v>
      </c>
      <c r="U260" s="6" t="n">
        <v>0</v>
      </c>
      <c r="V260" s="9">
        <f>K260*(1-M260)*((1-B260)*L260-B260*'模型说明与假设'!$B$7-'模型说明与假设'!$B$8)</f>
        <v/>
      </c>
      <c r="W260" s="6" t="b">
        <v>0</v>
      </c>
    </row>
    <row r="261">
      <c r="A261" s="6" t="inlineStr">
        <is>
          <t>E397</t>
        </is>
      </c>
      <c r="B261" s="6" t="n">
        <v>0.3666642954309665</v>
      </c>
      <c r="C261" s="6" t="inlineStr">
        <is>
          <t>C</t>
        </is>
      </c>
      <c r="D261" s="6" t="n">
        <v>0.5286564045623064</v>
      </c>
      <c r="E261" s="6" t="n">
        <v>0.1547385311637787</v>
      </c>
      <c r="F261" s="6" t="n">
        <v>0.1735538921587176</v>
      </c>
      <c r="G261" s="6" t="n">
        <v>260</v>
      </c>
      <c r="H261" s="6" t="n">
        <v>272</v>
      </c>
      <c r="I261" s="6" t="inlineStr">
        <is>
          <t>***大闸蟹经营部</t>
        </is>
      </c>
      <c r="J261" s="6" t="b">
        <v>0</v>
      </c>
      <c r="K261" s="6" t="n">
        <v>0</v>
      </c>
      <c r="L261" s="6" t="n">
        <v>0.15</v>
      </c>
      <c r="M261" s="6" t="n">
        <v>0.8951647386620309</v>
      </c>
      <c r="N261" s="6" t="n">
        <v>-0.01572510275885962</v>
      </c>
      <c r="O261" s="6" t="inlineStr"/>
      <c r="P261" s="6" t="n">
        <v>0</v>
      </c>
      <c r="Q261" s="6" t="n">
        <v>0</v>
      </c>
      <c r="R261" s="6" t="n">
        <v>0</v>
      </c>
      <c r="S261" s="6" t="n">
        <v>0</v>
      </c>
      <c r="T261" s="6" t="n">
        <v>0</v>
      </c>
      <c r="U261" s="6" t="n">
        <v>0</v>
      </c>
      <c r="V261" s="9">
        <f>K261*(1-M261)*((1-B261)*L261-B261*'模型说明与假设'!$B$7-'模型说明与假设'!$B$8)</f>
        <v/>
      </c>
      <c r="W261" s="6" t="b">
        <v>0</v>
      </c>
    </row>
    <row r="262">
      <c r="A262" s="6" t="inlineStr">
        <is>
          <t>E377</t>
        </is>
      </c>
      <c r="B262" s="6" t="n">
        <v>0.386642218763923</v>
      </c>
      <c r="C262" s="6" t="inlineStr">
        <is>
          <t>C</t>
        </is>
      </c>
      <c r="D262" s="6" t="n">
        <v>0.6001884624830083</v>
      </c>
      <c r="E262" s="6" t="n">
        <v>0.1292956313496814</v>
      </c>
      <c r="F262" s="6" t="n">
        <v>0.1940958149118874</v>
      </c>
      <c r="G262" s="6" t="n">
        <v>261</v>
      </c>
      <c r="H262" s="6" t="n">
        <v>224</v>
      </c>
      <c r="I262" s="6" t="inlineStr">
        <is>
          <t>***文化传播有限公司</t>
        </is>
      </c>
      <c r="J262" s="6" t="b">
        <v>0</v>
      </c>
      <c r="K262" s="6" t="n">
        <v>0</v>
      </c>
      <c r="L262" s="6" t="n">
        <v>0.15</v>
      </c>
      <c r="M262" s="6" t="n">
        <v>0.8951647386620309</v>
      </c>
      <c r="N262" s="6" t="n">
        <v>-0.01729589586905992</v>
      </c>
      <c r="O262" s="6" t="inlineStr"/>
      <c r="P262" s="6" t="n">
        <v>0</v>
      </c>
      <c r="Q262" s="6" t="n">
        <v>0</v>
      </c>
      <c r="R262" s="6" t="n">
        <v>0</v>
      </c>
      <c r="S262" s="6" t="n">
        <v>0</v>
      </c>
      <c r="T262" s="6" t="n">
        <v>0</v>
      </c>
      <c r="U262" s="6" t="n">
        <v>0</v>
      </c>
      <c r="V262" s="9">
        <f>K262*(1-M262)*((1-B262)*L262-B262*'模型说明与假设'!$B$7-'模型说明与假设'!$B$8)</f>
        <v/>
      </c>
      <c r="W262" s="6" t="b">
        <v>0</v>
      </c>
    </row>
    <row r="263">
      <c r="A263" s="6" t="inlineStr">
        <is>
          <t>E371</t>
        </is>
      </c>
      <c r="B263" s="6" t="n">
        <v>0.3933005207704237</v>
      </c>
      <c r="C263" s="6" t="inlineStr">
        <is>
          <t>C</t>
        </is>
      </c>
      <c r="D263" s="6" t="n">
        <v>0.5746439280471473</v>
      </c>
      <c r="E263" s="6" t="n">
        <v>0.1390274975647753</v>
      </c>
      <c r="F263" s="6" t="n">
        <v>0.1878221861049229</v>
      </c>
      <c r="G263" s="6" t="n">
        <v>262</v>
      </c>
      <c r="H263" s="6" t="n">
        <v>247</v>
      </c>
      <c r="I263" s="6" t="inlineStr">
        <is>
          <t>***自动化科技有限公司</t>
        </is>
      </c>
      <c r="J263" s="6" t="b">
        <v>0</v>
      </c>
      <c r="K263" s="6" t="n">
        <v>0</v>
      </c>
      <c r="L263" s="6" t="n">
        <v>0.15</v>
      </c>
      <c r="M263" s="6" t="n">
        <v>0.8951647386620309</v>
      </c>
      <c r="N263" s="6" t="n">
        <v>-0.01781941449224888</v>
      </c>
      <c r="O263" s="6" t="inlineStr"/>
      <c r="P263" s="6" t="n">
        <v>0</v>
      </c>
      <c r="Q263" s="6" t="n">
        <v>0</v>
      </c>
      <c r="R263" s="6" t="n">
        <v>0</v>
      </c>
      <c r="S263" s="6" t="n">
        <v>0</v>
      </c>
      <c r="T263" s="6" t="n">
        <v>0</v>
      </c>
      <c r="U263" s="6" t="n">
        <v>0</v>
      </c>
      <c r="V263" s="9">
        <f>K263*(1-M263)*((1-B263)*L263-B263*'模型说明与假设'!$B$7-'模型说明与假设'!$B$8)</f>
        <v/>
      </c>
      <c r="W263" s="6" t="b">
        <v>0</v>
      </c>
    </row>
    <row r="264">
      <c r="A264" s="6" t="inlineStr">
        <is>
          <t>E376</t>
        </is>
      </c>
      <c r="B264" s="6" t="n">
        <v>0.4026008393263854</v>
      </c>
      <c r="C264" s="6" t="inlineStr">
        <is>
          <t>D</t>
        </is>
      </c>
      <c r="D264" s="6" t="n">
        <v>0.5540660207500092</v>
      </c>
      <c r="E264" s="6" t="n">
        <v>0.1497119980590872</v>
      </c>
      <c r="F264" s="6" t="n">
        <v>0.1860148248012955</v>
      </c>
      <c r="G264" s="6" t="n">
        <v>263</v>
      </c>
      <c r="H264" s="6" t="n">
        <v>259</v>
      </c>
      <c r="I264" s="6" t="inlineStr">
        <is>
          <t>***建筑装饰设计有限责任公司</t>
        </is>
      </c>
      <c r="J264" s="6" t="b">
        <v>1</v>
      </c>
      <c r="K264" s="6" t="n">
        <v>0</v>
      </c>
      <c r="L264" s="6" t="n">
        <v>0</v>
      </c>
      <c r="M264" s="6" t="n">
        <v>0</v>
      </c>
      <c r="N264" s="6" t="n">
        <v>0</v>
      </c>
      <c r="O264" s="6" t="inlineStr">
        <is>
          <t>预测D级</t>
        </is>
      </c>
      <c r="P264" s="6" t="n">
        <v>0</v>
      </c>
      <c r="Q264" s="6" t="n">
        <v>0</v>
      </c>
      <c r="R264" s="6" t="n">
        <v>0</v>
      </c>
      <c r="S264" s="6" t="n">
        <v>0</v>
      </c>
      <c r="T264" s="6" t="n">
        <v>0</v>
      </c>
      <c r="U264" s="6" t="n">
        <v>0</v>
      </c>
      <c r="V264" s="9">
        <f>K264*(1-M264)*((1-B264)*L264-B264*'模型说明与假设'!$B$7-'模型说明与假设'!$B$8)</f>
        <v/>
      </c>
      <c r="W264" s="6" t="b">
        <v>0</v>
      </c>
    </row>
    <row r="265">
      <c r="A265" s="6" t="inlineStr">
        <is>
          <t>E378</t>
        </is>
      </c>
      <c r="B265" s="6" t="n">
        <v>0.4230536774318728</v>
      </c>
      <c r="C265" s="6" t="inlineStr">
        <is>
          <t>D</t>
        </is>
      </c>
      <c r="D265" s="6" t="n">
        <v>0.5055084930359411</v>
      </c>
      <c r="E265" s="6" t="n">
        <v>0.158489252137621</v>
      </c>
      <c r="F265" s="6" t="n">
        <v>0.162020301425127</v>
      </c>
      <c r="G265" s="6" t="n">
        <v>264</v>
      </c>
      <c r="H265" s="6" t="n">
        <v>279</v>
      </c>
      <c r="I265" s="6" t="inlineStr">
        <is>
          <t>***商贸有限公司</t>
        </is>
      </c>
      <c r="J265" s="6" t="b">
        <v>1</v>
      </c>
      <c r="K265" s="6" t="n">
        <v>0</v>
      </c>
      <c r="L265" s="6" t="n">
        <v>0</v>
      </c>
      <c r="M265" s="6" t="n">
        <v>0</v>
      </c>
      <c r="N265" s="6" t="n">
        <v>0</v>
      </c>
      <c r="O265" s="6" t="inlineStr">
        <is>
          <t>预测D级</t>
        </is>
      </c>
      <c r="P265" s="6" t="n">
        <v>0</v>
      </c>
      <c r="Q265" s="6" t="n">
        <v>0</v>
      </c>
      <c r="R265" s="6" t="n">
        <v>0</v>
      </c>
      <c r="S265" s="6" t="n">
        <v>0</v>
      </c>
      <c r="T265" s="6" t="n">
        <v>0</v>
      </c>
      <c r="U265" s="6" t="n">
        <v>0</v>
      </c>
      <c r="V265" s="9">
        <f>K265*(1-M265)*((1-B265)*L265-B265*'模型说明与假设'!$B$7-'模型说明与假设'!$B$8)</f>
        <v/>
      </c>
      <c r="W265" s="6" t="b">
        <v>0</v>
      </c>
    </row>
    <row r="266">
      <c r="A266" s="6" t="inlineStr">
        <is>
          <t>E408</t>
        </is>
      </c>
      <c r="B266" s="6" t="n">
        <v>0.4444967090652094</v>
      </c>
      <c r="C266" s="6" t="inlineStr">
        <is>
          <t>D</t>
        </is>
      </c>
      <c r="D266" s="6" t="n">
        <v>0.5706880360816925</v>
      </c>
      <c r="E266" s="6" t="n">
        <v>0.1414760516991307</v>
      </c>
      <c r="F266" s="6" t="n">
        <v>0.1880653158599895</v>
      </c>
      <c r="G266" s="6" t="n">
        <v>265</v>
      </c>
      <c r="H266" s="6" t="n">
        <v>248</v>
      </c>
      <c r="I266" s="6" t="inlineStr">
        <is>
          <t>***空调制冷有限责任公司</t>
        </is>
      </c>
      <c r="J266" s="6" t="b">
        <v>1</v>
      </c>
      <c r="K266" s="6" t="n">
        <v>0</v>
      </c>
      <c r="L266" s="6" t="n">
        <v>0</v>
      </c>
      <c r="M266" s="6" t="n">
        <v>0</v>
      </c>
      <c r="N266" s="6" t="n">
        <v>0</v>
      </c>
      <c r="O266" s="6" t="inlineStr">
        <is>
          <t>预测D级</t>
        </is>
      </c>
      <c r="P266" s="6" t="n">
        <v>0</v>
      </c>
      <c r="Q266" s="6" t="n">
        <v>0</v>
      </c>
      <c r="R266" s="6" t="n">
        <v>0</v>
      </c>
      <c r="S266" s="6" t="n">
        <v>0</v>
      </c>
      <c r="T266" s="6" t="n">
        <v>0</v>
      </c>
      <c r="U266" s="6" t="n">
        <v>0</v>
      </c>
      <c r="V266" s="9">
        <f>K266*(1-M266)*((1-B266)*L266-B266*'模型说明与假设'!$B$7-'模型说明与假设'!$B$8)</f>
        <v/>
      </c>
      <c r="W266" s="6" t="b">
        <v>0</v>
      </c>
    </row>
    <row r="267">
      <c r="A267" s="6" t="inlineStr">
        <is>
          <t>E349</t>
        </is>
      </c>
      <c r="B267" s="6" t="n">
        <v>0.4544389367361993</v>
      </c>
      <c r="C267" s="6" t="inlineStr">
        <is>
          <t>D</t>
        </is>
      </c>
      <c r="D267" s="6" t="n">
        <v>0.528556946694696</v>
      </c>
      <c r="E267" s="6" t="n">
        <v>0.1682140557970535</v>
      </c>
      <c r="F267" s="6" t="n">
        <v>0.1885926775246039</v>
      </c>
      <c r="G267" s="6" t="n">
        <v>266</v>
      </c>
      <c r="H267" s="6" t="n">
        <v>273</v>
      </c>
      <c r="I267" s="6" t="inlineStr">
        <is>
          <t>***营销策划广告有限公司</t>
        </is>
      </c>
      <c r="J267" s="6" t="b">
        <v>1</v>
      </c>
      <c r="K267" s="6" t="n">
        <v>0</v>
      </c>
      <c r="L267" s="6" t="n">
        <v>0</v>
      </c>
      <c r="M267" s="6" t="n">
        <v>0</v>
      </c>
      <c r="N267" s="6" t="n">
        <v>0</v>
      </c>
      <c r="O267" s="6" t="inlineStr">
        <is>
          <t>预测D级</t>
        </is>
      </c>
      <c r="P267" s="6" t="n">
        <v>0</v>
      </c>
      <c r="Q267" s="6" t="n">
        <v>0</v>
      </c>
      <c r="R267" s="6" t="n">
        <v>0</v>
      </c>
      <c r="S267" s="6" t="n">
        <v>0</v>
      </c>
      <c r="T267" s="6" t="n">
        <v>0</v>
      </c>
      <c r="U267" s="6" t="n">
        <v>0</v>
      </c>
      <c r="V267" s="9">
        <f>K267*(1-M267)*((1-B267)*L267-B267*'模型说明与假设'!$B$7-'模型说明与假设'!$B$8)</f>
        <v/>
      </c>
      <c r="W267" s="6" t="b">
        <v>0</v>
      </c>
    </row>
    <row r="268">
      <c r="A268" s="6" t="inlineStr">
        <is>
          <t>E380</t>
        </is>
      </c>
      <c r="B268" s="6" t="n">
        <v>0.4623451006979057</v>
      </c>
      <c r="C268" s="6" t="inlineStr">
        <is>
          <t>D</t>
        </is>
      </c>
      <c r="D268" s="6" t="n">
        <v>0.5288852180552697</v>
      </c>
      <c r="E268" s="6" t="n">
        <v>0.1608809117018252</v>
      </c>
      <c r="F268" s="6" t="n">
        <v>0.1806089287097185</v>
      </c>
      <c r="G268" s="6" t="n">
        <v>267</v>
      </c>
      <c r="H268" s="6" t="n">
        <v>271</v>
      </c>
      <c r="I268" s="6" t="inlineStr">
        <is>
          <t>***建材有限公司</t>
        </is>
      </c>
      <c r="J268" s="6" t="b">
        <v>1</v>
      </c>
      <c r="K268" s="6" t="n">
        <v>0</v>
      </c>
      <c r="L268" s="6" t="n">
        <v>0</v>
      </c>
      <c r="M268" s="6" t="n">
        <v>0</v>
      </c>
      <c r="N268" s="6" t="n">
        <v>0</v>
      </c>
      <c r="O268" s="6" t="inlineStr">
        <is>
          <t>预测D级</t>
        </is>
      </c>
      <c r="P268" s="6" t="n">
        <v>0</v>
      </c>
      <c r="Q268" s="6" t="n">
        <v>0</v>
      </c>
      <c r="R268" s="6" t="n">
        <v>0</v>
      </c>
      <c r="S268" s="6" t="n">
        <v>0</v>
      </c>
      <c r="T268" s="6" t="n">
        <v>0</v>
      </c>
      <c r="U268" s="6" t="n">
        <v>0</v>
      </c>
      <c r="V268" s="9">
        <f>K268*(1-M268)*((1-B268)*L268-B268*'模型说明与假设'!$B$7-'模型说明与假设'!$B$8)</f>
        <v/>
      </c>
      <c r="W268" s="6" t="b">
        <v>0</v>
      </c>
    </row>
    <row r="269">
      <c r="A269" s="6" t="inlineStr">
        <is>
          <t>E422</t>
        </is>
      </c>
      <c r="B269" s="6" t="n">
        <v>0.5080286998066487</v>
      </c>
      <c r="C269" s="6" t="inlineStr">
        <is>
          <t>D</t>
        </is>
      </c>
      <c r="D269" s="6" t="n">
        <v>0.5669829792160676</v>
      </c>
      <c r="E269" s="6" t="n">
        <v>0.1481835180872862</v>
      </c>
      <c r="F269" s="6" t="n">
        <v>0.1940282449030353</v>
      </c>
      <c r="G269" s="6" t="n">
        <v>268</v>
      </c>
      <c r="H269" s="6" t="n">
        <v>250</v>
      </c>
      <c r="I269" s="6" t="inlineStr">
        <is>
          <t>***童装店</t>
        </is>
      </c>
      <c r="J269" s="6" t="b">
        <v>1</v>
      </c>
      <c r="K269" s="6" t="n">
        <v>0</v>
      </c>
      <c r="L269" s="6" t="n">
        <v>0</v>
      </c>
      <c r="M269" s="6" t="n">
        <v>0</v>
      </c>
      <c r="N269" s="6" t="n">
        <v>0</v>
      </c>
      <c r="O269" s="6" t="inlineStr">
        <is>
          <t>预测D级</t>
        </is>
      </c>
      <c r="P269" s="6" t="n">
        <v>0</v>
      </c>
      <c r="Q269" s="6" t="n">
        <v>0</v>
      </c>
      <c r="R269" s="6" t="n">
        <v>0</v>
      </c>
      <c r="S269" s="6" t="n">
        <v>0</v>
      </c>
      <c r="T269" s="6" t="n">
        <v>0</v>
      </c>
      <c r="U269" s="6" t="n">
        <v>0</v>
      </c>
      <c r="V269" s="9">
        <f>K269*(1-M269)*((1-B269)*L269-B269*'模型说明与假设'!$B$7-'模型说明与假设'!$B$8)</f>
        <v/>
      </c>
      <c r="W269" s="6" t="b">
        <v>0</v>
      </c>
    </row>
    <row r="270">
      <c r="A270" s="6" t="inlineStr">
        <is>
          <t>E396</t>
        </is>
      </c>
      <c r="B270" s="6" t="n">
        <v>0.5096055632469612</v>
      </c>
      <c r="C270" s="6" t="inlineStr">
        <is>
          <t>D</t>
        </is>
      </c>
      <c r="D270" s="6" t="n">
        <v>0.5679673772018784</v>
      </c>
      <c r="E270" s="6" t="n">
        <v>0.1393735517447781</v>
      </c>
      <c r="F270" s="6" t="n">
        <v>0.183226049280962</v>
      </c>
      <c r="G270" s="6" t="n">
        <v>269</v>
      </c>
      <c r="H270" s="6" t="n">
        <v>249</v>
      </c>
      <c r="I270" s="6" t="inlineStr">
        <is>
          <t>***文化传播有限公司</t>
        </is>
      </c>
      <c r="J270" s="6" t="b">
        <v>1</v>
      </c>
      <c r="K270" s="6" t="n">
        <v>0</v>
      </c>
      <c r="L270" s="6" t="n">
        <v>0</v>
      </c>
      <c r="M270" s="6" t="n">
        <v>0</v>
      </c>
      <c r="N270" s="6" t="n">
        <v>0</v>
      </c>
      <c r="O270" s="6" t="inlineStr">
        <is>
          <t>预测D级</t>
        </is>
      </c>
      <c r="P270" s="6" t="n">
        <v>0</v>
      </c>
      <c r="Q270" s="6" t="n">
        <v>0</v>
      </c>
      <c r="R270" s="6" t="n">
        <v>0</v>
      </c>
      <c r="S270" s="6" t="n">
        <v>0</v>
      </c>
      <c r="T270" s="6" t="n">
        <v>0</v>
      </c>
      <c r="U270" s="6" t="n">
        <v>0</v>
      </c>
      <c r="V270" s="9">
        <f>K270*(1-M270)*((1-B270)*L270-B270*'模型说明与假设'!$B$7-'模型说明与假设'!$B$8)</f>
        <v/>
      </c>
      <c r="W270" s="6" t="b">
        <v>0</v>
      </c>
    </row>
    <row r="271">
      <c r="A271" s="6" t="inlineStr">
        <is>
          <t>E399</t>
        </is>
      </c>
      <c r="B271" s="6" t="n">
        <v>0.5097437356672883</v>
      </c>
      <c r="C271" s="6" t="inlineStr">
        <is>
          <t>D</t>
        </is>
      </c>
      <c r="D271" s="6" t="n">
        <v>0.5787299551455131</v>
      </c>
      <c r="E271" s="6" t="n">
        <v>0.1444363414041692</v>
      </c>
      <c r="F271" s="6" t="n">
        <v>0.1984229318063429</v>
      </c>
      <c r="G271" s="6" t="n">
        <v>270</v>
      </c>
      <c r="H271" s="6" t="n">
        <v>241</v>
      </c>
      <c r="I271" s="6" t="inlineStr">
        <is>
          <t>***装饰工程有限公司</t>
        </is>
      </c>
      <c r="J271" s="6" t="b">
        <v>1</v>
      </c>
      <c r="K271" s="6" t="n">
        <v>0</v>
      </c>
      <c r="L271" s="6" t="n">
        <v>0</v>
      </c>
      <c r="M271" s="6" t="n">
        <v>0</v>
      </c>
      <c r="N271" s="6" t="n">
        <v>0</v>
      </c>
      <c r="O271" s="6" t="inlineStr">
        <is>
          <t>预测D级</t>
        </is>
      </c>
      <c r="P271" s="6" t="n">
        <v>0</v>
      </c>
      <c r="Q271" s="6" t="n">
        <v>0</v>
      </c>
      <c r="R271" s="6" t="n">
        <v>0</v>
      </c>
      <c r="S271" s="6" t="n">
        <v>0</v>
      </c>
      <c r="T271" s="6" t="n">
        <v>0</v>
      </c>
      <c r="U271" s="6" t="n">
        <v>0</v>
      </c>
      <c r="V271" s="9">
        <f>K271*(1-M271)*((1-B271)*L271-B271*'模型说明与假设'!$B$7-'模型说明与假设'!$B$8)</f>
        <v/>
      </c>
      <c r="W271" s="6" t="b">
        <v>0</v>
      </c>
    </row>
    <row r="272">
      <c r="A272" s="6" t="inlineStr">
        <is>
          <t>E411</t>
        </is>
      </c>
      <c r="B272" s="6" t="n">
        <v>0.5108599513751324</v>
      </c>
      <c r="C272" s="6" t="inlineStr">
        <is>
          <t>D</t>
        </is>
      </c>
      <c r="D272" s="6" t="n">
        <v>0.549942753996312</v>
      </c>
      <c r="E272" s="6" t="n">
        <v>0.1418211134575694</v>
      </c>
      <c r="F272" s="6" t="n">
        <v>0.1732968292416739</v>
      </c>
      <c r="G272" s="6" t="n">
        <v>271</v>
      </c>
      <c r="H272" s="6" t="n">
        <v>262</v>
      </c>
      <c r="I272" s="6" t="inlineStr">
        <is>
          <t>***机电设备有限公司</t>
        </is>
      </c>
      <c r="J272" s="6" t="b">
        <v>1</v>
      </c>
      <c r="K272" s="6" t="n">
        <v>0</v>
      </c>
      <c r="L272" s="6" t="n">
        <v>0</v>
      </c>
      <c r="M272" s="6" t="n">
        <v>0</v>
      </c>
      <c r="N272" s="6" t="n">
        <v>0</v>
      </c>
      <c r="O272" s="6" t="inlineStr">
        <is>
          <t>预测D级</t>
        </is>
      </c>
      <c r="P272" s="6" t="n">
        <v>0</v>
      </c>
      <c r="Q272" s="6" t="n">
        <v>0</v>
      </c>
      <c r="R272" s="6" t="n">
        <v>0</v>
      </c>
      <c r="S272" s="6" t="n">
        <v>0</v>
      </c>
      <c r="T272" s="6" t="n">
        <v>0</v>
      </c>
      <c r="U272" s="6" t="n">
        <v>0</v>
      </c>
      <c r="V272" s="9">
        <f>K272*(1-M272)*((1-B272)*L272-B272*'模型说明与假设'!$B$7-'模型说明与假设'!$B$8)</f>
        <v/>
      </c>
      <c r="W272" s="6" t="b">
        <v>0</v>
      </c>
    </row>
    <row r="273">
      <c r="A273" s="6" t="inlineStr">
        <is>
          <t>E384</t>
        </is>
      </c>
      <c r="B273" s="6" t="n">
        <v>0.526670379324387</v>
      </c>
      <c r="C273" s="6" t="inlineStr">
        <is>
          <t>D</t>
        </is>
      </c>
      <c r="D273" s="6" t="n">
        <v>0.4936573573732296</v>
      </c>
      <c r="E273" s="6" t="n">
        <v>0.1671208936862944</v>
      </c>
      <c r="F273" s="6" t="n">
        <v>0.1629340525440208</v>
      </c>
      <c r="G273" s="6" t="n">
        <v>272</v>
      </c>
      <c r="H273" s="6" t="n">
        <v>285</v>
      </c>
      <c r="I273" s="6" t="inlineStr">
        <is>
          <t xml:space="preserve">个体经营E384 </t>
        </is>
      </c>
      <c r="J273" s="6" t="b">
        <v>1</v>
      </c>
      <c r="K273" s="6" t="n">
        <v>0</v>
      </c>
      <c r="L273" s="6" t="n">
        <v>0</v>
      </c>
      <c r="M273" s="6" t="n">
        <v>0</v>
      </c>
      <c r="N273" s="6" t="n">
        <v>0</v>
      </c>
      <c r="O273" s="6" t="inlineStr">
        <is>
          <t>预测D级</t>
        </is>
      </c>
      <c r="P273" s="6" t="n">
        <v>0</v>
      </c>
      <c r="Q273" s="6" t="n">
        <v>0</v>
      </c>
      <c r="R273" s="6" t="n">
        <v>0</v>
      </c>
      <c r="S273" s="6" t="n">
        <v>0</v>
      </c>
      <c r="T273" s="6" t="n">
        <v>0</v>
      </c>
      <c r="U273" s="6" t="n">
        <v>0</v>
      </c>
      <c r="V273" s="9">
        <f>K273*(1-M273)*((1-B273)*L273-B273*'模型说明与假设'!$B$7-'模型说明与假设'!$B$8)</f>
        <v/>
      </c>
      <c r="W273" s="6" t="b">
        <v>0</v>
      </c>
    </row>
    <row r="274">
      <c r="A274" s="6" t="inlineStr">
        <is>
          <t>E336</t>
        </is>
      </c>
      <c r="B274" s="6" t="n">
        <v>0.5293121427385699</v>
      </c>
      <c r="C274" s="6" t="inlineStr">
        <is>
          <t>D</t>
        </is>
      </c>
      <c r="D274" s="6" t="n">
        <v>0.5356559180043756</v>
      </c>
      <c r="E274" s="6" t="n">
        <v>0.160296418468637</v>
      </c>
      <c r="F274" s="6" t="n">
        <v>0.1849140077733142</v>
      </c>
      <c r="G274" s="6" t="n">
        <v>273</v>
      </c>
      <c r="H274" s="6" t="n">
        <v>267</v>
      </c>
      <c r="I274" s="6" t="inlineStr">
        <is>
          <t>***猕猴桃专业合作社</t>
        </is>
      </c>
      <c r="J274" s="6" t="b">
        <v>1</v>
      </c>
      <c r="K274" s="6" t="n">
        <v>0</v>
      </c>
      <c r="L274" s="6" t="n">
        <v>0</v>
      </c>
      <c r="M274" s="6" t="n">
        <v>0</v>
      </c>
      <c r="N274" s="6" t="n">
        <v>0</v>
      </c>
      <c r="O274" s="6" t="inlineStr">
        <is>
          <t>预测D级</t>
        </is>
      </c>
      <c r="P274" s="6" t="n">
        <v>0</v>
      </c>
      <c r="Q274" s="6" t="n">
        <v>0</v>
      </c>
      <c r="R274" s="6" t="n">
        <v>0</v>
      </c>
      <c r="S274" s="6" t="n">
        <v>0</v>
      </c>
      <c r="T274" s="6" t="n">
        <v>0</v>
      </c>
      <c r="U274" s="6" t="n">
        <v>0</v>
      </c>
      <c r="V274" s="9">
        <f>K274*(1-M274)*((1-B274)*L274-B274*'模型说明与假设'!$B$7-'模型说明与假设'!$B$8)</f>
        <v/>
      </c>
      <c r="W274" s="6" t="b">
        <v>0</v>
      </c>
    </row>
    <row r="275">
      <c r="A275" s="6" t="inlineStr">
        <is>
          <t>E390</t>
        </is>
      </c>
      <c r="B275" s="6" t="n">
        <v>0.5377610365102041</v>
      </c>
      <c r="C275" s="6" t="inlineStr">
        <is>
          <t>D</t>
        </is>
      </c>
      <c r="D275" s="6" t="n">
        <v>0.5352940888175631</v>
      </c>
      <c r="E275" s="6" t="n">
        <v>0.1614985740045085</v>
      </c>
      <c r="F275" s="6" t="n">
        <v>0.1860299814071882</v>
      </c>
      <c r="G275" s="6" t="n">
        <v>274</v>
      </c>
      <c r="H275" s="6" t="n">
        <v>268</v>
      </c>
      <c r="I275" s="6" t="inlineStr">
        <is>
          <t>***建筑工程有限公司</t>
        </is>
      </c>
      <c r="J275" s="6" t="b">
        <v>1</v>
      </c>
      <c r="K275" s="6" t="n">
        <v>0</v>
      </c>
      <c r="L275" s="6" t="n">
        <v>0</v>
      </c>
      <c r="M275" s="6" t="n">
        <v>0</v>
      </c>
      <c r="N275" s="6" t="n">
        <v>0</v>
      </c>
      <c r="O275" s="6" t="inlineStr">
        <is>
          <t>预测D级</t>
        </is>
      </c>
      <c r="P275" s="6" t="n">
        <v>0</v>
      </c>
      <c r="Q275" s="6" t="n">
        <v>0</v>
      </c>
      <c r="R275" s="6" t="n">
        <v>0</v>
      </c>
      <c r="S275" s="6" t="n">
        <v>0</v>
      </c>
      <c r="T275" s="6" t="n">
        <v>0</v>
      </c>
      <c r="U275" s="6" t="n">
        <v>0</v>
      </c>
      <c r="V275" s="9">
        <f>K275*(1-M275)*((1-B275)*L275-B275*'模型说明与假设'!$B$7-'模型说明与假设'!$B$8)</f>
        <v/>
      </c>
      <c r="W275" s="6" t="b">
        <v>0</v>
      </c>
    </row>
    <row r="276">
      <c r="A276" s="6" t="inlineStr">
        <is>
          <t>E291</t>
        </is>
      </c>
      <c r="B276" s="6" t="n">
        <v>0.5559934352612516</v>
      </c>
      <c r="C276" s="6" t="inlineStr">
        <is>
          <t>D</t>
        </is>
      </c>
      <c r="D276" s="6" t="n">
        <v>0.4323655160550415</v>
      </c>
      <c r="E276" s="6" t="n">
        <v>0.1864482042913851</v>
      </c>
      <c r="F276" s="6" t="n">
        <v>0.1420170485516122</v>
      </c>
      <c r="G276" s="6" t="n">
        <v>275</v>
      </c>
      <c r="H276" s="6" t="n">
        <v>299</v>
      </c>
      <c r="I276" s="6" t="inlineStr">
        <is>
          <t>***文业建设工程有限公司</t>
        </is>
      </c>
      <c r="J276" s="6" t="b">
        <v>1</v>
      </c>
      <c r="K276" s="6" t="n">
        <v>0</v>
      </c>
      <c r="L276" s="6" t="n">
        <v>0</v>
      </c>
      <c r="M276" s="6" t="n">
        <v>0</v>
      </c>
      <c r="N276" s="6" t="n">
        <v>0</v>
      </c>
      <c r="O276" s="6" t="inlineStr">
        <is>
          <t>预测D级</t>
        </is>
      </c>
      <c r="P276" s="6" t="n">
        <v>0</v>
      </c>
      <c r="Q276" s="6" t="n">
        <v>0</v>
      </c>
      <c r="R276" s="6" t="n">
        <v>0</v>
      </c>
      <c r="S276" s="6" t="n">
        <v>0</v>
      </c>
      <c r="T276" s="6" t="n">
        <v>0</v>
      </c>
      <c r="U276" s="6" t="n">
        <v>0</v>
      </c>
      <c r="V276" s="9">
        <f>K276*(1-M276)*((1-B276)*L276-B276*'模型说明与假设'!$B$7-'模型说明与假设'!$B$8)</f>
        <v/>
      </c>
      <c r="W276" s="6" t="b">
        <v>0</v>
      </c>
    </row>
    <row r="277">
      <c r="A277" s="6" t="inlineStr">
        <is>
          <t>E360</t>
        </is>
      </c>
      <c r="B277" s="6" t="n">
        <v>0.5609139296509208</v>
      </c>
      <c r="C277" s="6" t="inlineStr">
        <is>
          <t>D</t>
        </is>
      </c>
      <c r="D277" s="6" t="n">
        <v>0.5114398679105747</v>
      </c>
      <c r="E277" s="6" t="n">
        <v>0.1754952960124377</v>
      </c>
      <c r="F277" s="6" t="n">
        <v>0.1837139076978546</v>
      </c>
      <c r="G277" s="6" t="n">
        <v>276</v>
      </c>
      <c r="H277" s="6" t="n">
        <v>277</v>
      </c>
      <c r="I277" s="6" t="inlineStr">
        <is>
          <t>***建筑劳务有限公司</t>
        </is>
      </c>
      <c r="J277" s="6" t="b">
        <v>1</v>
      </c>
      <c r="K277" s="6" t="n">
        <v>0</v>
      </c>
      <c r="L277" s="6" t="n">
        <v>0</v>
      </c>
      <c r="M277" s="6" t="n">
        <v>0</v>
      </c>
      <c r="N277" s="6" t="n">
        <v>0</v>
      </c>
      <c r="O277" s="6" t="inlineStr">
        <is>
          <t>预测D级</t>
        </is>
      </c>
      <c r="P277" s="6" t="n">
        <v>0</v>
      </c>
      <c r="Q277" s="6" t="n">
        <v>0</v>
      </c>
      <c r="R277" s="6" t="n">
        <v>0</v>
      </c>
      <c r="S277" s="6" t="n">
        <v>0</v>
      </c>
      <c r="T277" s="6" t="n">
        <v>0</v>
      </c>
      <c r="U277" s="6" t="n">
        <v>0</v>
      </c>
      <c r="V277" s="9">
        <f>K277*(1-M277)*((1-B277)*L277-B277*'模型说明与假设'!$B$7-'模型说明与假设'!$B$8)</f>
        <v/>
      </c>
      <c r="W277" s="6" t="b">
        <v>0</v>
      </c>
    </row>
    <row r="278">
      <c r="A278" s="6" t="inlineStr">
        <is>
          <t>E406</t>
        </is>
      </c>
      <c r="B278" s="6" t="n">
        <v>0.5706048298203987</v>
      </c>
      <c r="C278" s="6" t="inlineStr">
        <is>
          <t>D</t>
        </is>
      </c>
      <c r="D278" s="6" t="n">
        <v>0.5841604666934588</v>
      </c>
      <c r="E278" s="6" t="n">
        <v>0.134576927270239</v>
      </c>
      <c r="F278" s="6" t="n">
        <v>0.189050136756485</v>
      </c>
      <c r="G278" s="6" t="n">
        <v>277</v>
      </c>
      <c r="H278" s="6" t="n">
        <v>235</v>
      </c>
      <c r="I278" s="6" t="inlineStr">
        <is>
          <t>***招投标代理有限公司</t>
        </is>
      </c>
      <c r="J278" s="6" t="b">
        <v>1</v>
      </c>
      <c r="K278" s="6" t="n">
        <v>0</v>
      </c>
      <c r="L278" s="6" t="n">
        <v>0</v>
      </c>
      <c r="M278" s="6" t="n">
        <v>0</v>
      </c>
      <c r="N278" s="6" t="n">
        <v>0</v>
      </c>
      <c r="O278" s="6" t="inlineStr">
        <is>
          <t>预测D级</t>
        </is>
      </c>
      <c r="P278" s="6" t="n">
        <v>0</v>
      </c>
      <c r="Q278" s="6" t="n">
        <v>0</v>
      </c>
      <c r="R278" s="6" t="n">
        <v>0</v>
      </c>
      <c r="S278" s="6" t="n">
        <v>0</v>
      </c>
      <c r="T278" s="6" t="n">
        <v>0</v>
      </c>
      <c r="U278" s="6" t="n">
        <v>0</v>
      </c>
      <c r="V278" s="9">
        <f>K278*(1-M278)*((1-B278)*L278-B278*'模型说明与假设'!$B$7-'模型说明与假设'!$B$8)</f>
        <v/>
      </c>
      <c r="W278" s="6" t="b">
        <v>0</v>
      </c>
    </row>
    <row r="279">
      <c r="A279" s="6" t="inlineStr">
        <is>
          <t>E381</t>
        </is>
      </c>
      <c r="B279" s="6" t="n">
        <v>0.5759554409140943</v>
      </c>
      <c r="C279" s="6" t="inlineStr">
        <is>
          <t>D</t>
        </is>
      </c>
      <c r="D279" s="6" t="n">
        <v>0.4376463548870577</v>
      </c>
      <c r="E279" s="6" t="n">
        <v>0.196522830115809</v>
      </c>
      <c r="F279" s="6" t="n">
        <v>0.1529420161133635</v>
      </c>
      <c r="G279" s="6" t="n">
        <v>278</v>
      </c>
      <c r="H279" s="6" t="n">
        <v>297</v>
      </c>
      <c r="I279" s="6" t="inlineStr">
        <is>
          <t>***通信网络工程有限公司</t>
        </is>
      </c>
      <c r="J279" s="6" t="b">
        <v>1</v>
      </c>
      <c r="K279" s="6" t="n">
        <v>0</v>
      </c>
      <c r="L279" s="6" t="n">
        <v>0</v>
      </c>
      <c r="M279" s="6" t="n">
        <v>0</v>
      </c>
      <c r="N279" s="6" t="n">
        <v>0</v>
      </c>
      <c r="O279" s="6" t="inlineStr">
        <is>
          <t>预测D级</t>
        </is>
      </c>
      <c r="P279" s="6" t="n">
        <v>0</v>
      </c>
      <c r="Q279" s="6" t="n">
        <v>0</v>
      </c>
      <c r="R279" s="6" t="n">
        <v>0</v>
      </c>
      <c r="S279" s="6" t="n">
        <v>0</v>
      </c>
      <c r="T279" s="6" t="n">
        <v>0</v>
      </c>
      <c r="U279" s="6" t="n">
        <v>0</v>
      </c>
      <c r="V279" s="9">
        <f>K279*(1-M279)*((1-B279)*L279-B279*'模型说明与假设'!$B$7-'模型说明与假设'!$B$8)</f>
        <v/>
      </c>
      <c r="W279" s="6" t="b">
        <v>0</v>
      </c>
    </row>
    <row r="280">
      <c r="A280" s="6" t="inlineStr">
        <is>
          <t>E240</t>
        </is>
      </c>
      <c r="B280" s="6" t="n">
        <v>0.6204809997885711</v>
      </c>
      <c r="C280" s="6" t="inlineStr">
        <is>
          <t>D</t>
        </is>
      </c>
      <c r="D280" s="6" t="n">
        <v>0.5044259139856231</v>
      </c>
      <c r="E280" s="6" t="n">
        <v>0.1769551493964369</v>
      </c>
      <c r="F280" s="6" t="n">
        <v>0.1801158807286195</v>
      </c>
      <c r="G280" s="6" t="n">
        <v>279</v>
      </c>
      <c r="H280" s="6" t="n">
        <v>280</v>
      </c>
      <c r="I280" s="6" t="inlineStr">
        <is>
          <t xml:space="preserve">个体经营E240 </t>
        </is>
      </c>
      <c r="J280" s="6" t="b">
        <v>1</v>
      </c>
      <c r="K280" s="6" t="n">
        <v>0</v>
      </c>
      <c r="L280" s="6" t="n">
        <v>0</v>
      </c>
      <c r="M280" s="6" t="n">
        <v>0</v>
      </c>
      <c r="N280" s="6" t="n">
        <v>0</v>
      </c>
      <c r="O280" s="6" t="inlineStr">
        <is>
          <t>预测D级</t>
        </is>
      </c>
      <c r="P280" s="6" t="n">
        <v>0</v>
      </c>
      <c r="Q280" s="6" t="n">
        <v>0</v>
      </c>
      <c r="R280" s="6" t="n">
        <v>0</v>
      </c>
      <c r="S280" s="6" t="n">
        <v>0</v>
      </c>
      <c r="T280" s="6" t="n">
        <v>0</v>
      </c>
      <c r="U280" s="6" t="n">
        <v>0</v>
      </c>
      <c r="V280" s="9">
        <f>K280*(1-M280)*((1-B280)*L280-B280*'模型说明与假设'!$B$7-'模型说明与假设'!$B$8)</f>
        <v/>
      </c>
      <c r="W280" s="6" t="b">
        <v>0</v>
      </c>
    </row>
    <row r="281">
      <c r="A281" s="6" t="inlineStr">
        <is>
          <t>E420</t>
        </is>
      </c>
      <c r="B281" s="6" t="n">
        <v>0.6231680503851171</v>
      </c>
      <c r="C281" s="6" t="inlineStr">
        <is>
          <t>D</t>
        </is>
      </c>
      <c r="D281" s="6" t="n">
        <v>0.4394520802437065</v>
      </c>
      <c r="E281" s="6" t="n">
        <v>0.2021452498640878</v>
      </c>
      <c r="F281" s="6" t="n">
        <v>0.158475569051757</v>
      </c>
      <c r="G281" s="6" t="n">
        <v>280</v>
      </c>
      <c r="H281" s="6" t="n">
        <v>296</v>
      </c>
      <c r="I281" s="6" t="inlineStr">
        <is>
          <t>***康药房</t>
        </is>
      </c>
      <c r="J281" s="6" t="b">
        <v>1</v>
      </c>
      <c r="K281" s="6" t="n">
        <v>0</v>
      </c>
      <c r="L281" s="6" t="n">
        <v>0</v>
      </c>
      <c r="M281" s="6" t="n">
        <v>0</v>
      </c>
      <c r="N281" s="6" t="n">
        <v>0</v>
      </c>
      <c r="O281" s="6" t="inlineStr">
        <is>
          <t>预测D级</t>
        </is>
      </c>
      <c r="P281" s="6" t="n">
        <v>0</v>
      </c>
      <c r="Q281" s="6" t="n">
        <v>0</v>
      </c>
      <c r="R281" s="6" t="n">
        <v>0</v>
      </c>
      <c r="S281" s="6" t="n">
        <v>0</v>
      </c>
      <c r="T281" s="6" t="n">
        <v>0</v>
      </c>
      <c r="U281" s="6" t="n">
        <v>0</v>
      </c>
      <c r="V281" s="9">
        <f>K281*(1-M281)*((1-B281)*L281-B281*'模型说明与假设'!$B$7-'模型说明与假设'!$B$8)</f>
        <v/>
      </c>
      <c r="W281" s="6" t="b">
        <v>0</v>
      </c>
    </row>
    <row r="282">
      <c r="A282" s="6" t="inlineStr">
        <is>
          <t>E416</t>
        </is>
      </c>
      <c r="B282" s="6" t="n">
        <v>0.6346737301994547</v>
      </c>
      <c r="C282" s="6" t="inlineStr">
        <is>
          <t>D</t>
        </is>
      </c>
      <c r="D282" s="6" t="n">
        <v>0.4949548830832032</v>
      </c>
      <c r="E282" s="6" t="n">
        <v>0.1726186447550994</v>
      </c>
      <c r="F282" s="6" t="n">
        <v>0.1691699182329026</v>
      </c>
      <c r="G282" s="6" t="n">
        <v>281</v>
      </c>
      <c r="H282" s="6" t="n">
        <v>284</v>
      </c>
      <c r="I282" s="6" t="inlineStr">
        <is>
          <t>***科技有限公司</t>
        </is>
      </c>
      <c r="J282" s="6" t="b">
        <v>1</v>
      </c>
      <c r="K282" s="6" t="n">
        <v>0</v>
      </c>
      <c r="L282" s="6" t="n">
        <v>0</v>
      </c>
      <c r="M282" s="6" t="n">
        <v>0</v>
      </c>
      <c r="N282" s="6" t="n">
        <v>0</v>
      </c>
      <c r="O282" s="6" t="inlineStr">
        <is>
          <t>预测D级</t>
        </is>
      </c>
      <c r="P282" s="6" t="n">
        <v>0</v>
      </c>
      <c r="Q282" s="6" t="n">
        <v>0</v>
      </c>
      <c r="R282" s="6" t="n">
        <v>0</v>
      </c>
      <c r="S282" s="6" t="n">
        <v>0</v>
      </c>
      <c r="T282" s="6" t="n">
        <v>0</v>
      </c>
      <c r="U282" s="6" t="n">
        <v>0</v>
      </c>
      <c r="V282" s="9">
        <f>K282*(1-M282)*((1-B282)*L282-B282*'模型说明与假设'!$B$7-'模型说明与假设'!$B$8)</f>
        <v/>
      </c>
      <c r="W282" s="6" t="b">
        <v>0</v>
      </c>
    </row>
    <row r="283">
      <c r="A283" s="6" t="inlineStr">
        <is>
          <t>E394</t>
        </is>
      </c>
      <c r="B283" s="6" t="n">
        <v>0.66277519716227</v>
      </c>
      <c r="C283" s="6" t="inlineStr">
        <is>
          <t>D</t>
        </is>
      </c>
      <c r="D283" s="6" t="n">
        <v>0.5939847489838708</v>
      </c>
      <c r="E283" s="6" t="n">
        <v>0.1313188033232508</v>
      </c>
      <c r="F283" s="6" t="n">
        <v>0.1921143755896124</v>
      </c>
      <c r="G283" s="6" t="n">
        <v>282</v>
      </c>
      <c r="H283" s="6" t="n">
        <v>229</v>
      </c>
      <c r="I283" s="6" t="inlineStr">
        <is>
          <t>***环保设计研究院（有限合伙）</t>
        </is>
      </c>
      <c r="J283" s="6" t="b">
        <v>1</v>
      </c>
      <c r="K283" s="6" t="n">
        <v>0</v>
      </c>
      <c r="L283" s="6" t="n">
        <v>0</v>
      </c>
      <c r="M283" s="6" t="n">
        <v>0</v>
      </c>
      <c r="N283" s="6" t="n">
        <v>0</v>
      </c>
      <c r="O283" s="6" t="inlineStr">
        <is>
          <t>预测D级</t>
        </is>
      </c>
      <c r="P283" s="6" t="n">
        <v>0</v>
      </c>
      <c r="Q283" s="6" t="n">
        <v>0</v>
      </c>
      <c r="R283" s="6" t="n">
        <v>0</v>
      </c>
      <c r="S283" s="6" t="n">
        <v>0</v>
      </c>
      <c r="T283" s="6" t="n">
        <v>0</v>
      </c>
      <c r="U283" s="6" t="n">
        <v>0</v>
      </c>
      <c r="V283" s="9">
        <f>K283*(1-M283)*((1-B283)*L283-B283*'模型说明与假设'!$B$7-'模型说明与假设'!$B$8)</f>
        <v/>
      </c>
      <c r="W283" s="6" t="b">
        <v>0</v>
      </c>
    </row>
    <row r="284">
      <c r="A284" s="6" t="inlineStr">
        <is>
          <t>E187</t>
        </is>
      </c>
      <c r="B284" s="6" t="n">
        <v>0.6676408856595872</v>
      </c>
      <c r="C284" s="6" t="inlineStr">
        <is>
          <t>D</t>
        </is>
      </c>
      <c r="D284" s="6" t="n">
        <v>0.466121670724812</v>
      </c>
      <c r="E284" s="6" t="n">
        <v>0.1911000384245089</v>
      </c>
      <c r="F284" s="6" t="n">
        <v>0.1668467594609813</v>
      </c>
      <c r="G284" s="6" t="n">
        <v>283</v>
      </c>
      <c r="H284" s="6" t="n">
        <v>290</v>
      </c>
      <c r="I284" s="6" t="inlineStr">
        <is>
          <t xml:space="preserve">个体经营E187 </t>
        </is>
      </c>
      <c r="J284" s="6" t="b">
        <v>1</v>
      </c>
      <c r="K284" s="6" t="n">
        <v>0</v>
      </c>
      <c r="L284" s="6" t="n">
        <v>0</v>
      </c>
      <c r="M284" s="6" t="n">
        <v>0</v>
      </c>
      <c r="N284" s="6" t="n">
        <v>0</v>
      </c>
      <c r="O284" s="6" t="inlineStr">
        <is>
          <t>预测D级</t>
        </is>
      </c>
      <c r="P284" s="6" t="n">
        <v>0</v>
      </c>
      <c r="Q284" s="6" t="n">
        <v>0</v>
      </c>
      <c r="R284" s="6" t="n">
        <v>0</v>
      </c>
      <c r="S284" s="6" t="n">
        <v>0</v>
      </c>
      <c r="T284" s="6" t="n">
        <v>0</v>
      </c>
      <c r="U284" s="6" t="n">
        <v>0</v>
      </c>
      <c r="V284" s="9">
        <f>K284*(1-M284)*((1-B284)*L284-B284*'模型说明与假设'!$B$7-'模型说明与假设'!$B$8)</f>
        <v/>
      </c>
      <c r="W284" s="6" t="b">
        <v>0</v>
      </c>
    </row>
    <row r="285">
      <c r="A285" s="6" t="inlineStr">
        <is>
          <t>E373</t>
        </is>
      </c>
      <c r="B285" s="6" t="n">
        <v>0.6867396516242826</v>
      </c>
      <c r="C285" s="6" t="inlineStr">
        <is>
          <t>D</t>
        </is>
      </c>
      <c r="D285" s="6" t="n">
        <v>0.4526306986719358</v>
      </c>
      <c r="E285" s="6" t="n">
        <v>0.1961469649259608</v>
      </c>
      <c r="F285" s="6" t="n">
        <v>0.1621978754771379</v>
      </c>
      <c r="G285" s="6" t="n">
        <v>284</v>
      </c>
      <c r="H285" s="6" t="n">
        <v>294</v>
      </c>
      <c r="I285" s="6" t="inlineStr">
        <is>
          <t xml:space="preserve">个体经营E373 </t>
        </is>
      </c>
      <c r="J285" s="6" t="b">
        <v>1</v>
      </c>
      <c r="K285" s="6" t="n">
        <v>0</v>
      </c>
      <c r="L285" s="6" t="n">
        <v>0</v>
      </c>
      <c r="M285" s="6" t="n">
        <v>0</v>
      </c>
      <c r="N285" s="6" t="n">
        <v>0</v>
      </c>
      <c r="O285" s="6" t="inlineStr">
        <is>
          <t>预测D级</t>
        </is>
      </c>
      <c r="P285" s="6" t="n">
        <v>0</v>
      </c>
      <c r="Q285" s="6" t="n">
        <v>0</v>
      </c>
      <c r="R285" s="6" t="n">
        <v>0</v>
      </c>
      <c r="S285" s="6" t="n">
        <v>0</v>
      </c>
      <c r="T285" s="6" t="n">
        <v>0</v>
      </c>
      <c r="U285" s="6" t="n">
        <v>0</v>
      </c>
      <c r="V285" s="9">
        <f>K285*(1-M285)*((1-B285)*L285-B285*'模型说明与假设'!$B$7-'模型说明与假设'!$B$8)</f>
        <v/>
      </c>
      <c r="W285" s="6" t="b">
        <v>0</v>
      </c>
    </row>
    <row r="286">
      <c r="A286" s="6" t="inlineStr">
        <is>
          <t>E405</t>
        </is>
      </c>
      <c r="B286" s="6" t="n">
        <v>0.690660903967762</v>
      </c>
      <c r="C286" s="6" t="inlineStr">
        <is>
          <t>D</t>
        </is>
      </c>
      <c r="D286" s="6" t="n">
        <v>0.5008066584182438</v>
      </c>
      <c r="E286" s="6" t="n">
        <v>0.169312252280879</v>
      </c>
      <c r="F286" s="6" t="n">
        <v>0.1698594436884464</v>
      </c>
      <c r="G286" s="6" t="n">
        <v>285</v>
      </c>
      <c r="H286" s="6" t="n">
        <v>282</v>
      </c>
      <c r="I286" s="6" t="inlineStr">
        <is>
          <t>***职业技能服务有限公司</t>
        </is>
      </c>
      <c r="J286" s="6" t="b">
        <v>1</v>
      </c>
      <c r="K286" s="6" t="n">
        <v>0</v>
      </c>
      <c r="L286" s="6" t="n">
        <v>0</v>
      </c>
      <c r="M286" s="6" t="n">
        <v>0</v>
      </c>
      <c r="N286" s="6" t="n">
        <v>0</v>
      </c>
      <c r="O286" s="6" t="inlineStr">
        <is>
          <t>预测D级</t>
        </is>
      </c>
      <c r="P286" s="6" t="n">
        <v>0</v>
      </c>
      <c r="Q286" s="6" t="n">
        <v>0</v>
      </c>
      <c r="R286" s="6" t="n">
        <v>0</v>
      </c>
      <c r="S286" s="6" t="n">
        <v>0</v>
      </c>
      <c r="T286" s="6" t="n">
        <v>0</v>
      </c>
      <c r="U286" s="6" t="n">
        <v>0</v>
      </c>
      <c r="V286" s="9">
        <f>K286*(1-M286)*((1-B286)*L286-B286*'模型说明与假设'!$B$7-'模型说明与假设'!$B$8)</f>
        <v/>
      </c>
      <c r="W286" s="6" t="b">
        <v>0</v>
      </c>
    </row>
    <row r="287">
      <c r="A287" s="6" t="inlineStr">
        <is>
          <t>E402</t>
        </is>
      </c>
      <c r="B287" s="6" t="n">
        <v>0.6995502093560634</v>
      </c>
      <c r="C287" s="6" t="inlineStr">
        <is>
          <t>D</t>
        </is>
      </c>
      <c r="D287" s="6" t="n">
        <v>0.4863222247592214</v>
      </c>
      <c r="E287" s="6" t="n">
        <v>0.1702878338055407</v>
      </c>
      <c r="F287" s="6" t="n">
        <v>0.1612192743727738</v>
      </c>
      <c r="G287" s="6" t="n">
        <v>286</v>
      </c>
      <c r="H287" s="6" t="n">
        <v>288</v>
      </c>
      <c r="I287" s="6" t="inlineStr">
        <is>
          <t>***商贸有限公司</t>
        </is>
      </c>
      <c r="J287" s="6" t="b">
        <v>1</v>
      </c>
      <c r="K287" s="6" t="n">
        <v>0</v>
      </c>
      <c r="L287" s="6" t="n">
        <v>0</v>
      </c>
      <c r="M287" s="6" t="n">
        <v>0</v>
      </c>
      <c r="N287" s="6" t="n">
        <v>0</v>
      </c>
      <c r="O287" s="6" t="inlineStr">
        <is>
          <t>预测D级</t>
        </is>
      </c>
      <c r="P287" s="6" t="n">
        <v>0</v>
      </c>
      <c r="Q287" s="6" t="n">
        <v>0</v>
      </c>
      <c r="R287" s="6" t="n">
        <v>0</v>
      </c>
      <c r="S287" s="6" t="n">
        <v>0</v>
      </c>
      <c r="T287" s="6" t="n">
        <v>0</v>
      </c>
      <c r="U287" s="6" t="n">
        <v>0</v>
      </c>
      <c r="V287" s="9">
        <f>K287*(1-M287)*((1-B287)*L287-B287*'模型说明与假设'!$B$7-'模型说明与假设'!$B$8)</f>
        <v/>
      </c>
      <c r="W287" s="6" t="b">
        <v>0</v>
      </c>
    </row>
    <row r="288">
      <c r="A288" s="6" t="inlineStr">
        <is>
          <t>E242</t>
        </is>
      </c>
      <c r="B288" s="6" t="n">
        <v>0.7093377336511719</v>
      </c>
      <c r="C288" s="6" t="inlineStr">
        <is>
          <t>D</t>
        </is>
      </c>
      <c r="D288" s="6" t="n">
        <v>0.4549982564034051</v>
      </c>
      <c r="E288" s="6" t="n">
        <v>0.192964037912246</v>
      </c>
      <c r="F288" s="6" t="n">
        <v>0.1610972842384518</v>
      </c>
      <c r="G288" s="6" t="n">
        <v>287</v>
      </c>
      <c r="H288" s="6" t="n">
        <v>292</v>
      </c>
      <c r="I288" s="6" t="inlineStr">
        <is>
          <t xml:space="preserve">个体经营E242 </t>
        </is>
      </c>
      <c r="J288" s="6" t="b">
        <v>1</v>
      </c>
      <c r="K288" s="6" t="n">
        <v>0</v>
      </c>
      <c r="L288" s="6" t="n">
        <v>0</v>
      </c>
      <c r="M288" s="6" t="n">
        <v>0</v>
      </c>
      <c r="N288" s="6" t="n">
        <v>0</v>
      </c>
      <c r="O288" s="6" t="inlineStr">
        <is>
          <t>预测D级</t>
        </is>
      </c>
      <c r="P288" s="6" t="n">
        <v>0</v>
      </c>
      <c r="Q288" s="6" t="n">
        <v>0</v>
      </c>
      <c r="R288" s="6" t="n">
        <v>0</v>
      </c>
      <c r="S288" s="6" t="n">
        <v>0</v>
      </c>
      <c r="T288" s="6" t="n">
        <v>0</v>
      </c>
      <c r="U288" s="6" t="n">
        <v>0</v>
      </c>
      <c r="V288" s="9">
        <f>K288*(1-M288)*((1-B288)*L288-B288*'模型说明与假设'!$B$7-'模型说明与假设'!$B$8)</f>
        <v/>
      </c>
      <c r="W288" s="6" t="b">
        <v>0</v>
      </c>
    </row>
    <row r="289">
      <c r="A289" s="6" t="inlineStr">
        <is>
          <t>E264</t>
        </is>
      </c>
      <c r="B289" s="6" t="n">
        <v>0.7121724165705832</v>
      </c>
      <c r="C289" s="6" t="inlineStr">
        <is>
          <t>D</t>
        </is>
      </c>
      <c r="D289" s="6" t="n">
        <v>0.4348677972930069</v>
      </c>
      <c r="E289" s="6" t="n">
        <v>0.2064465595022148</v>
      </c>
      <c r="F289" s="6" t="n">
        <v>0.1588601041657415</v>
      </c>
      <c r="G289" s="6" t="n">
        <v>288</v>
      </c>
      <c r="H289" s="6" t="n">
        <v>298</v>
      </c>
      <c r="I289" s="6" t="inlineStr">
        <is>
          <t xml:space="preserve">个体经营E264 </t>
        </is>
      </c>
      <c r="J289" s="6" t="b">
        <v>1</v>
      </c>
      <c r="K289" s="6" t="n">
        <v>0</v>
      </c>
      <c r="L289" s="6" t="n">
        <v>0</v>
      </c>
      <c r="M289" s="6" t="n">
        <v>0</v>
      </c>
      <c r="N289" s="6" t="n">
        <v>0</v>
      </c>
      <c r="O289" s="6" t="inlineStr">
        <is>
          <t>预测D级</t>
        </is>
      </c>
      <c r="P289" s="6" t="n">
        <v>0</v>
      </c>
      <c r="Q289" s="6" t="n">
        <v>0</v>
      </c>
      <c r="R289" s="6" t="n">
        <v>0</v>
      </c>
      <c r="S289" s="6" t="n">
        <v>0</v>
      </c>
      <c r="T289" s="6" t="n">
        <v>0</v>
      </c>
      <c r="U289" s="6" t="n">
        <v>0</v>
      </c>
      <c r="V289" s="9">
        <f>K289*(1-M289)*((1-B289)*L289-B289*'模型说明与假设'!$B$7-'模型说明与假设'!$B$8)</f>
        <v/>
      </c>
      <c r="W289" s="6" t="b">
        <v>0</v>
      </c>
    </row>
    <row r="290">
      <c r="A290" s="6" t="inlineStr">
        <is>
          <t>E418</t>
        </is>
      </c>
      <c r="B290" s="6" t="n">
        <v>0.7123981652605675</v>
      </c>
      <c r="C290" s="6" t="inlineStr">
        <is>
          <t>D</t>
        </is>
      </c>
      <c r="D290" s="6" t="n">
        <v>0.5256848185045385</v>
      </c>
      <c r="E290" s="6" t="n">
        <v>0.163333216571625</v>
      </c>
      <c r="F290" s="6" t="n">
        <v>0.18102265257145</v>
      </c>
      <c r="G290" s="6" t="n">
        <v>289</v>
      </c>
      <c r="H290" s="6" t="n">
        <v>274</v>
      </c>
      <c r="I290" s="6" t="inlineStr">
        <is>
          <t>***营销策划有限公司</t>
        </is>
      </c>
      <c r="J290" s="6" t="b">
        <v>1</v>
      </c>
      <c r="K290" s="6" t="n">
        <v>0</v>
      </c>
      <c r="L290" s="6" t="n">
        <v>0</v>
      </c>
      <c r="M290" s="6" t="n">
        <v>0</v>
      </c>
      <c r="N290" s="6" t="n">
        <v>0</v>
      </c>
      <c r="O290" s="6" t="inlineStr">
        <is>
          <t>预测D级</t>
        </is>
      </c>
      <c r="P290" s="6" t="n">
        <v>0</v>
      </c>
      <c r="Q290" s="6" t="n">
        <v>0</v>
      </c>
      <c r="R290" s="6" t="n">
        <v>0</v>
      </c>
      <c r="S290" s="6" t="n">
        <v>0</v>
      </c>
      <c r="T290" s="6" t="n">
        <v>0</v>
      </c>
      <c r="U290" s="6" t="n">
        <v>0</v>
      </c>
      <c r="V290" s="9">
        <f>K290*(1-M290)*((1-B290)*L290-B290*'模型说明与假设'!$B$7-'模型说明与假设'!$B$8)</f>
        <v/>
      </c>
      <c r="W290" s="6" t="b">
        <v>0</v>
      </c>
    </row>
    <row r="291">
      <c r="A291" s="6" t="inlineStr">
        <is>
          <t>E414</t>
        </is>
      </c>
      <c r="B291" s="6" t="n">
        <v>0.7387940433139173</v>
      </c>
      <c r="C291" s="6" t="inlineStr">
        <is>
          <t>D</t>
        </is>
      </c>
      <c r="D291" s="6" t="n">
        <v>0.4997308355061649</v>
      </c>
      <c r="E291" s="6" t="n">
        <v>0.1754283364672636</v>
      </c>
      <c r="F291" s="6" t="n">
        <v>0.1752395617725957</v>
      </c>
      <c r="G291" s="6" t="n">
        <v>290</v>
      </c>
      <c r="H291" s="6" t="n">
        <v>283</v>
      </c>
      <c r="I291" s="6" t="inlineStr">
        <is>
          <t>***物流有限责任公司***分公司</t>
        </is>
      </c>
      <c r="J291" s="6" t="b">
        <v>1</v>
      </c>
      <c r="K291" s="6" t="n">
        <v>0</v>
      </c>
      <c r="L291" s="6" t="n">
        <v>0</v>
      </c>
      <c r="M291" s="6" t="n">
        <v>0</v>
      </c>
      <c r="N291" s="6" t="n">
        <v>0</v>
      </c>
      <c r="O291" s="6" t="inlineStr">
        <is>
          <t>预测D级</t>
        </is>
      </c>
      <c r="P291" s="6" t="n">
        <v>0</v>
      </c>
      <c r="Q291" s="6" t="n">
        <v>0</v>
      </c>
      <c r="R291" s="6" t="n">
        <v>0</v>
      </c>
      <c r="S291" s="6" t="n">
        <v>0</v>
      </c>
      <c r="T291" s="6" t="n">
        <v>0</v>
      </c>
      <c r="U291" s="6" t="n">
        <v>0</v>
      </c>
      <c r="V291" s="9">
        <f>K291*(1-M291)*((1-B291)*L291-B291*'模型说明与假设'!$B$7-'模型说明与假设'!$B$8)</f>
        <v/>
      </c>
      <c r="W291" s="6" t="b">
        <v>0</v>
      </c>
    </row>
    <row r="292">
      <c r="A292" s="6" t="inlineStr">
        <is>
          <t>E413</t>
        </is>
      </c>
      <c r="B292" s="6" t="n">
        <v>0.7520976263697072</v>
      </c>
      <c r="C292" s="6" t="inlineStr">
        <is>
          <t>D</t>
        </is>
      </c>
      <c r="D292" s="6" t="n">
        <v>0.5441888883737563</v>
      </c>
      <c r="E292" s="6" t="n">
        <v>0.1588537778394916</v>
      </c>
      <c r="F292" s="6" t="n">
        <v>0.1896541320987564</v>
      </c>
      <c r="G292" s="6" t="n">
        <v>291</v>
      </c>
      <c r="H292" s="6" t="n">
        <v>264</v>
      </c>
      <c r="I292" s="6" t="inlineStr">
        <is>
          <t>***石材工艺品有限公司</t>
        </is>
      </c>
      <c r="J292" s="6" t="b">
        <v>1</v>
      </c>
      <c r="K292" s="6" t="n">
        <v>0</v>
      </c>
      <c r="L292" s="6" t="n">
        <v>0</v>
      </c>
      <c r="M292" s="6" t="n">
        <v>0</v>
      </c>
      <c r="N292" s="6" t="n">
        <v>0</v>
      </c>
      <c r="O292" s="6" t="inlineStr">
        <is>
          <t>预测D级</t>
        </is>
      </c>
      <c r="P292" s="6" t="n">
        <v>0</v>
      </c>
      <c r="Q292" s="6" t="n">
        <v>0</v>
      </c>
      <c r="R292" s="6" t="n">
        <v>0</v>
      </c>
      <c r="S292" s="6" t="n">
        <v>0</v>
      </c>
      <c r="T292" s="6" t="n">
        <v>0</v>
      </c>
      <c r="U292" s="6" t="n">
        <v>0</v>
      </c>
      <c r="V292" s="9">
        <f>K292*(1-M292)*((1-B292)*L292-B292*'模型说明与假设'!$B$7-'模型说明与假设'!$B$8)</f>
        <v/>
      </c>
      <c r="W292" s="6" t="b">
        <v>0</v>
      </c>
    </row>
    <row r="293">
      <c r="A293" s="6" t="inlineStr">
        <is>
          <t>E417</t>
        </is>
      </c>
      <c r="B293" s="6" t="n">
        <v>0.7569666724661214</v>
      </c>
      <c r="C293" s="6" t="inlineStr">
        <is>
          <t>D</t>
        </is>
      </c>
      <c r="D293" s="6" t="n">
        <v>0.4934090438357706</v>
      </c>
      <c r="E293" s="6" t="n">
        <v>0.1741088093225212</v>
      </c>
      <c r="F293" s="6" t="n">
        <v>0.1695783552507004</v>
      </c>
      <c r="G293" s="6" t="n">
        <v>292</v>
      </c>
      <c r="H293" s="6" t="n">
        <v>286</v>
      </c>
      <c r="I293" s="6" t="inlineStr">
        <is>
          <t>***园林景观工程有限公司</t>
        </is>
      </c>
      <c r="J293" s="6" t="b">
        <v>1</v>
      </c>
      <c r="K293" s="6" t="n">
        <v>0</v>
      </c>
      <c r="L293" s="6" t="n">
        <v>0</v>
      </c>
      <c r="M293" s="6" t="n">
        <v>0</v>
      </c>
      <c r="N293" s="6" t="n">
        <v>0</v>
      </c>
      <c r="O293" s="6" t="inlineStr">
        <is>
          <t>预测D级</t>
        </is>
      </c>
      <c r="P293" s="6" t="n">
        <v>0</v>
      </c>
      <c r="Q293" s="6" t="n">
        <v>0</v>
      </c>
      <c r="R293" s="6" t="n">
        <v>0</v>
      </c>
      <c r="S293" s="6" t="n">
        <v>0</v>
      </c>
      <c r="T293" s="6" t="n">
        <v>0</v>
      </c>
      <c r="U293" s="6" t="n">
        <v>0</v>
      </c>
      <c r="V293" s="9">
        <f>K293*(1-M293)*((1-B293)*L293-B293*'模型说明与假设'!$B$7-'模型说明与假设'!$B$8)</f>
        <v/>
      </c>
      <c r="W293" s="6" t="b">
        <v>0</v>
      </c>
    </row>
    <row r="294">
      <c r="A294" s="6" t="inlineStr">
        <is>
          <t>E401</t>
        </is>
      </c>
      <c r="B294" s="6" t="n">
        <v>0.7573600790493429</v>
      </c>
      <c r="C294" s="6" t="inlineStr">
        <is>
          <t>D</t>
        </is>
      </c>
      <c r="D294" s="6" t="n">
        <v>0.5426181685897916</v>
      </c>
      <c r="E294" s="6" t="n">
        <v>0.1504841093569433</v>
      </c>
      <c r="F294" s="6" t="n">
        <v>0.1785278867972717</v>
      </c>
      <c r="G294" s="6" t="n">
        <v>293</v>
      </c>
      <c r="H294" s="6" t="n">
        <v>265</v>
      </c>
      <c r="I294" s="6" t="inlineStr">
        <is>
          <t>***遮阳技术发展中心</t>
        </is>
      </c>
      <c r="J294" s="6" t="b">
        <v>1</v>
      </c>
      <c r="K294" s="6" t="n">
        <v>0</v>
      </c>
      <c r="L294" s="6" t="n">
        <v>0</v>
      </c>
      <c r="M294" s="6" t="n">
        <v>0</v>
      </c>
      <c r="N294" s="6" t="n">
        <v>0</v>
      </c>
      <c r="O294" s="6" t="inlineStr">
        <is>
          <t>预测D级</t>
        </is>
      </c>
      <c r="P294" s="6" t="n">
        <v>0</v>
      </c>
      <c r="Q294" s="6" t="n">
        <v>0</v>
      </c>
      <c r="R294" s="6" t="n">
        <v>0</v>
      </c>
      <c r="S294" s="6" t="n">
        <v>0</v>
      </c>
      <c r="T294" s="6" t="n">
        <v>0</v>
      </c>
      <c r="U294" s="6" t="n">
        <v>0</v>
      </c>
      <c r="V294" s="9">
        <f>K294*(1-M294)*((1-B294)*L294-B294*'模型说明与假设'!$B$7-'模型说明与假设'!$B$8)</f>
        <v/>
      </c>
      <c r="W294" s="6" t="b">
        <v>0</v>
      </c>
    </row>
    <row r="295">
      <c r="A295" s="6" t="inlineStr">
        <is>
          <t>E385</t>
        </is>
      </c>
      <c r="B295" s="6" t="n">
        <v>0.7594659022539301</v>
      </c>
      <c r="C295" s="6" t="inlineStr">
        <is>
          <t>D</t>
        </is>
      </c>
      <c r="D295" s="6" t="n">
        <v>0.5312449652854028</v>
      </c>
      <c r="E295" s="6" t="n">
        <v>0.1567076796116136</v>
      </c>
      <c r="F295" s="6" t="n">
        <v>0.1775984462031747</v>
      </c>
      <c r="G295" s="6" t="n">
        <v>294</v>
      </c>
      <c r="H295" s="6" t="n">
        <v>270</v>
      </c>
      <c r="I295" s="6" t="inlineStr">
        <is>
          <t>***装饰工程有限公司</t>
        </is>
      </c>
      <c r="J295" s="6" t="b">
        <v>1</v>
      </c>
      <c r="K295" s="6" t="n">
        <v>0</v>
      </c>
      <c r="L295" s="6" t="n">
        <v>0</v>
      </c>
      <c r="M295" s="6" t="n">
        <v>0</v>
      </c>
      <c r="N295" s="6" t="n">
        <v>0</v>
      </c>
      <c r="O295" s="6" t="inlineStr">
        <is>
          <t>预测D级</t>
        </is>
      </c>
      <c r="P295" s="6" t="n">
        <v>0</v>
      </c>
      <c r="Q295" s="6" t="n">
        <v>0</v>
      </c>
      <c r="R295" s="6" t="n">
        <v>0</v>
      </c>
      <c r="S295" s="6" t="n">
        <v>0</v>
      </c>
      <c r="T295" s="6" t="n">
        <v>0</v>
      </c>
      <c r="U295" s="6" t="n">
        <v>0</v>
      </c>
      <c r="V295" s="9">
        <f>K295*(1-M295)*((1-B295)*L295-B295*'模型说明与假设'!$B$7-'模型说明与假设'!$B$8)</f>
        <v/>
      </c>
      <c r="W295" s="6" t="b">
        <v>0</v>
      </c>
    </row>
    <row r="296">
      <c r="A296" s="6" t="inlineStr">
        <is>
          <t>E368</t>
        </is>
      </c>
      <c r="B296" s="6" t="n">
        <v>0.7679898802412043</v>
      </c>
      <c r="C296" s="6" t="inlineStr">
        <is>
          <t>D</t>
        </is>
      </c>
      <c r="D296" s="6" t="n">
        <v>0.5138159130557373</v>
      </c>
      <c r="E296" s="6" t="n">
        <v>0.159306996649521</v>
      </c>
      <c r="F296" s="6" t="n">
        <v>0.1683610635101368</v>
      </c>
      <c r="G296" s="6" t="n">
        <v>295</v>
      </c>
      <c r="H296" s="6" t="n">
        <v>276</v>
      </c>
      <c r="I296" s="6" t="inlineStr">
        <is>
          <t>***通信科技有限责任公司</t>
        </is>
      </c>
      <c r="J296" s="6" t="b">
        <v>1</v>
      </c>
      <c r="K296" s="6" t="n">
        <v>0</v>
      </c>
      <c r="L296" s="6" t="n">
        <v>0</v>
      </c>
      <c r="M296" s="6" t="n">
        <v>0</v>
      </c>
      <c r="N296" s="6" t="n">
        <v>0</v>
      </c>
      <c r="O296" s="6" t="inlineStr">
        <is>
          <t>预测D级</t>
        </is>
      </c>
      <c r="P296" s="6" t="n">
        <v>0</v>
      </c>
      <c r="Q296" s="6" t="n">
        <v>0</v>
      </c>
      <c r="R296" s="6" t="n">
        <v>0</v>
      </c>
      <c r="S296" s="6" t="n">
        <v>0</v>
      </c>
      <c r="T296" s="6" t="n">
        <v>0</v>
      </c>
      <c r="U296" s="6" t="n">
        <v>0</v>
      </c>
      <c r="V296" s="9">
        <f>K296*(1-M296)*((1-B296)*L296-B296*'模型说明与假设'!$B$7-'模型说明与假设'!$B$8)</f>
        <v/>
      </c>
      <c r="W296" s="6" t="b">
        <v>0</v>
      </c>
    </row>
    <row r="297">
      <c r="A297" s="6" t="inlineStr">
        <is>
          <t>E421</t>
        </is>
      </c>
      <c r="B297" s="6" t="n">
        <v>0.7822067500013968</v>
      </c>
      <c r="C297" s="6" t="inlineStr">
        <is>
          <t>D</t>
        </is>
      </c>
      <c r="D297" s="6" t="n">
        <v>0.5039278714829714</v>
      </c>
      <c r="E297" s="6" t="n">
        <v>0.1758834845387952</v>
      </c>
      <c r="F297" s="6" t="n">
        <v>0.1786687558069506</v>
      </c>
      <c r="G297" s="6" t="n">
        <v>296</v>
      </c>
      <c r="H297" s="6" t="n">
        <v>281</v>
      </c>
      <c r="I297" s="6" t="inlineStr">
        <is>
          <t>***保温材料有限公司</t>
        </is>
      </c>
      <c r="J297" s="6" t="b">
        <v>1</v>
      </c>
      <c r="K297" s="6" t="n">
        <v>0</v>
      </c>
      <c r="L297" s="6" t="n">
        <v>0</v>
      </c>
      <c r="M297" s="6" t="n">
        <v>0</v>
      </c>
      <c r="N297" s="6" t="n">
        <v>0</v>
      </c>
      <c r="O297" s="6" t="inlineStr">
        <is>
          <t>预测D级</t>
        </is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</v>
      </c>
      <c r="V297" s="9">
        <f>K297*(1-M297)*((1-B297)*L297-B297*'模型说明与假设'!$B$7-'模型说明与假设'!$B$8)</f>
        <v/>
      </c>
      <c r="W297" s="6" t="b">
        <v>0</v>
      </c>
    </row>
    <row r="298">
      <c r="A298" s="6" t="inlineStr">
        <is>
          <t>E423</t>
        </is>
      </c>
      <c r="B298" s="6" t="n">
        <v>0.7988930648673302</v>
      </c>
      <c r="C298" s="6" t="inlineStr">
        <is>
          <t>D</t>
        </is>
      </c>
      <c r="D298" s="6" t="n">
        <v>0.4527074491697276</v>
      </c>
      <c r="E298" s="6" t="n">
        <v>0.18338946307791</v>
      </c>
      <c r="F298" s="6" t="n">
        <v>0.1516954248850237</v>
      </c>
      <c r="G298" s="6" t="n">
        <v>297</v>
      </c>
      <c r="H298" s="6" t="n">
        <v>293</v>
      </c>
      <c r="I298" s="6" t="inlineStr">
        <is>
          <t>***通风设备有限公司</t>
        </is>
      </c>
      <c r="J298" s="6" t="b">
        <v>1</v>
      </c>
      <c r="K298" s="6" t="n">
        <v>0</v>
      </c>
      <c r="L298" s="6" t="n">
        <v>0</v>
      </c>
      <c r="M298" s="6" t="n">
        <v>0</v>
      </c>
      <c r="N298" s="6" t="n">
        <v>0</v>
      </c>
      <c r="O298" s="6" t="inlineStr">
        <is>
          <t>预测D级</t>
        </is>
      </c>
      <c r="P298" s="6" t="n">
        <v>0</v>
      </c>
      <c r="Q298" s="6" t="n">
        <v>0</v>
      </c>
      <c r="R298" s="6" t="n">
        <v>0</v>
      </c>
      <c r="S298" s="6" t="n">
        <v>0</v>
      </c>
      <c r="T298" s="6" t="n">
        <v>0</v>
      </c>
      <c r="U298" s="6" t="n">
        <v>0</v>
      </c>
      <c r="V298" s="9">
        <f>K298*(1-M298)*((1-B298)*L298-B298*'模型说明与假设'!$B$7-'模型说明与假设'!$B$8)</f>
        <v/>
      </c>
      <c r="W298" s="6" t="b">
        <v>0</v>
      </c>
    </row>
    <row r="299">
      <c r="A299" s="6" t="inlineStr">
        <is>
          <t>E217</t>
        </is>
      </c>
      <c r="B299" s="6" t="n">
        <v>0.8167097399687954</v>
      </c>
      <c r="C299" s="6" t="inlineStr">
        <is>
          <t>D</t>
        </is>
      </c>
      <c r="D299" s="6" t="n">
        <v>0.4185798971886918</v>
      </c>
      <c r="E299" s="6" t="n">
        <v>0.2087125664699938</v>
      </c>
      <c r="F299" s="6" t="n">
        <v>0.150257764037702</v>
      </c>
      <c r="G299" s="6" t="n">
        <v>298</v>
      </c>
      <c r="H299" s="6" t="n">
        <v>301</v>
      </c>
      <c r="I299" s="6" t="inlineStr">
        <is>
          <t xml:space="preserve">个体经营E217 </t>
        </is>
      </c>
      <c r="J299" s="6" t="b">
        <v>1</v>
      </c>
      <c r="K299" s="6" t="n">
        <v>0</v>
      </c>
      <c r="L299" s="6" t="n">
        <v>0</v>
      </c>
      <c r="M299" s="6" t="n">
        <v>0</v>
      </c>
      <c r="N299" s="6" t="n">
        <v>0</v>
      </c>
      <c r="O299" s="6" t="inlineStr">
        <is>
          <t>预测D级</t>
        </is>
      </c>
      <c r="P299" s="6" t="n">
        <v>0</v>
      </c>
      <c r="Q299" s="6" t="n">
        <v>0</v>
      </c>
      <c r="R299" s="6" t="n">
        <v>0</v>
      </c>
      <c r="S299" s="6" t="n">
        <v>0</v>
      </c>
      <c r="T299" s="6" t="n">
        <v>0</v>
      </c>
      <c r="U299" s="6" t="n">
        <v>0</v>
      </c>
      <c r="V299" s="9">
        <f>K299*(1-M299)*((1-B299)*L299-B299*'模型说明与假设'!$B$7-'模型说明与假设'!$B$8)</f>
        <v/>
      </c>
      <c r="W299" s="6" t="b">
        <v>0</v>
      </c>
    </row>
    <row r="300">
      <c r="A300" s="6" t="inlineStr">
        <is>
          <t>E419</t>
        </is>
      </c>
      <c r="B300" s="6" t="n">
        <v>0.8686616017746208</v>
      </c>
      <c r="C300" s="6" t="inlineStr">
        <is>
          <t>D</t>
        </is>
      </c>
      <c r="D300" s="6" t="n">
        <v>0.4230865154160932</v>
      </c>
      <c r="E300" s="6" t="n">
        <v>0.2137383792248408</v>
      </c>
      <c r="F300" s="6" t="n">
        <v>0.156747638065945</v>
      </c>
      <c r="G300" s="6" t="n">
        <v>299</v>
      </c>
      <c r="H300" s="6" t="n">
        <v>300</v>
      </c>
      <c r="I300" s="6" t="inlineStr">
        <is>
          <t>***科技有限公司</t>
        </is>
      </c>
      <c r="J300" s="6" t="b">
        <v>1</v>
      </c>
      <c r="K300" s="6" t="n">
        <v>0</v>
      </c>
      <c r="L300" s="6" t="n">
        <v>0</v>
      </c>
      <c r="M300" s="6" t="n">
        <v>0</v>
      </c>
      <c r="N300" s="6" t="n">
        <v>0</v>
      </c>
      <c r="O300" s="6" t="inlineStr">
        <is>
          <t>预测D级</t>
        </is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9">
        <f>K300*(1-M300)*((1-B300)*L300-B300*'模型说明与假设'!$B$7-'模型说明与假设'!$B$8)</f>
        <v/>
      </c>
      <c r="W300" s="6" t="b">
        <v>0</v>
      </c>
    </row>
    <row r="301">
      <c r="A301" s="6" t="inlineStr">
        <is>
          <t>E425</t>
        </is>
      </c>
      <c r="B301" s="6" t="n">
        <v>0.8773292887983726</v>
      </c>
      <c r="C301" s="6" t="inlineStr">
        <is>
          <t>D</t>
        </is>
      </c>
      <c r="D301" s="6" t="n">
        <v>0.4912986974154632</v>
      </c>
      <c r="E301" s="6" t="n">
        <v>0.1775109274804835</v>
      </c>
      <c r="F301" s="6" t="n">
        <v>0.1714383018189333</v>
      </c>
      <c r="G301" s="6" t="n">
        <v>300</v>
      </c>
      <c r="H301" s="6" t="n">
        <v>287</v>
      </c>
      <c r="I301" s="6" t="inlineStr">
        <is>
          <t>***商贸有限公司</t>
        </is>
      </c>
      <c r="J301" s="6" t="b">
        <v>1</v>
      </c>
      <c r="K301" s="6" t="n">
        <v>0</v>
      </c>
      <c r="L301" s="6" t="n">
        <v>0</v>
      </c>
      <c r="M301" s="6" t="n">
        <v>0</v>
      </c>
      <c r="N301" s="6" t="n">
        <v>0</v>
      </c>
      <c r="O301" s="6" t="inlineStr">
        <is>
          <t>预测D级</t>
        </is>
      </c>
      <c r="P301" s="6" t="n">
        <v>0</v>
      </c>
      <c r="Q301" s="6" t="n">
        <v>0</v>
      </c>
      <c r="R301" s="6" t="n">
        <v>0</v>
      </c>
      <c r="S301" s="6" t="n">
        <v>0</v>
      </c>
      <c r="T301" s="6" t="n">
        <v>0</v>
      </c>
      <c r="U301" s="6" t="n">
        <v>0</v>
      </c>
      <c r="V301" s="9">
        <f>K301*(1-M301)*((1-B301)*L301-B301*'模型说明与假设'!$B$7-'模型说明与假设'!$B$8)</f>
        <v/>
      </c>
      <c r="W301" s="6" t="b">
        <v>0</v>
      </c>
    </row>
    <row r="302">
      <c r="A302" s="6" t="inlineStr">
        <is>
          <t>E404</t>
        </is>
      </c>
      <c r="B302" s="6" t="n">
        <v>0.8836148435489724</v>
      </c>
      <c r="C302" s="6" t="inlineStr">
        <is>
          <t>D</t>
        </is>
      </c>
      <c r="D302" s="6" t="n">
        <v>0.4403590320505812</v>
      </c>
      <c r="E302" s="6" t="n">
        <v>0.1874825973876984</v>
      </c>
      <c r="F302" s="6" t="n">
        <v>0.1475225364834934</v>
      </c>
      <c r="G302" s="6" t="n">
        <v>301</v>
      </c>
      <c r="H302" s="6" t="n">
        <v>295</v>
      </c>
      <c r="I302" s="6" t="inlineStr">
        <is>
          <t xml:space="preserve">个体经营E404 </t>
        </is>
      </c>
      <c r="J302" s="6" t="b">
        <v>1</v>
      </c>
      <c r="K302" s="6" t="n">
        <v>0</v>
      </c>
      <c r="L302" s="6" t="n">
        <v>0</v>
      </c>
      <c r="M302" s="6" t="n">
        <v>0</v>
      </c>
      <c r="N302" s="6" t="n">
        <v>0</v>
      </c>
      <c r="O302" s="6" t="inlineStr">
        <is>
          <t>预测D级</t>
        </is>
      </c>
      <c r="P302" s="6" t="n">
        <v>0</v>
      </c>
      <c r="Q302" s="6" t="n">
        <v>0</v>
      </c>
      <c r="R302" s="6" t="n">
        <v>0</v>
      </c>
      <c r="S302" s="6" t="n">
        <v>0</v>
      </c>
      <c r="T302" s="6" t="n">
        <v>0</v>
      </c>
      <c r="U302" s="6" t="n">
        <v>0</v>
      </c>
      <c r="V302" s="9">
        <f>K302*(1-M302)*((1-B302)*L302-B302*'模型说明与假设'!$B$7-'模型说明与假设'!$B$8)</f>
        <v/>
      </c>
      <c r="W302" s="6" t="b">
        <v>0</v>
      </c>
    </row>
    <row r="303">
      <c r="A303" s="6" t="inlineStr">
        <is>
          <t>E424</t>
        </is>
      </c>
      <c r="B303" s="6" t="n">
        <v>0.9285007290932114</v>
      </c>
      <c r="C303" s="6" t="inlineStr">
        <is>
          <t>D</t>
        </is>
      </c>
      <c r="D303" s="6" t="n">
        <v>0.3506762296344159</v>
      </c>
      <c r="E303" s="6" t="n">
        <v>0.2238967649487267</v>
      </c>
      <c r="F303" s="6" t="n">
        <v>0.1209185262313077</v>
      </c>
      <c r="G303" s="6" t="n">
        <v>302</v>
      </c>
      <c r="H303" s="6" t="n">
        <v>302</v>
      </c>
      <c r="I303" s="6" t="inlineStr">
        <is>
          <t>***贸易有限公司</t>
        </is>
      </c>
      <c r="J303" s="6" t="b">
        <v>1</v>
      </c>
      <c r="K303" s="6" t="n">
        <v>0</v>
      </c>
      <c r="L303" s="6" t="n">
        <v>0</v>
      </c>
      <c r="M303" s="6" t="n">
        <v>0</v>
      </c>
      <c r="N303" s="6" t="n">
        <v>0</v>
      </c>
      <c r="O303" s="6" t="inlineStr">
        <is>
          <t>预测D级</t>
        </is>
      </c>
      <c r="P303" s="6" t="n">
        <v>0</v>
      </c>
      <c r="Q303" s="6" t="n">
        <v>0</v>
      </c>
      <c r="R303" s="6" t="n">
        <v>0</v>
      </c>
      <c r="S303" s="6" t="n">
        <v>0</v>
      </c>
      <c r="T303" s="6" t="n">
        <v>0</v>
      </c>
      <c r="U303" s="6" t="n">
        <v>0</v>
      </c>
      <c r="V303" s="9">
        <f>K303*(1-M303)*((1-B303)*L303-B303*'模型说明与假设'!$B$7-'模型说明与假设'!$B$8)</f>
        <v/>
      </c>
      <c r="W303" s="6" t="b">
        <v>0</v>
      </c>
    </row>
  </sheetData>
  <autoFilter ref="A1:W3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3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.75" customWidth="1" min="2" max="2"/>
    <col width="10" customWidth="1" min="3" max="3"/>
    <col width="24.5" customWidth="1" min="4" max="4"/>
    <col width="25.75" customWidth="1" min="5" max="5"/>
    <col width="24.5" customWidth="1" min="6" max="6"/>
    <col width="10" customWidth="1" min="7" max="7"/>
    <col width="12" customWidth="1" min="8" max="8"/>
    <col width="25.75" customWidth="1" min="9" max="9"/>
    <col width="10" customWidth="1" min="10" max="10"/>
    <col width="10" customWidth="1" min="11" max="11"/>
    <col width="10.75" customWidth="1" min="12" max="12"/>
    <col width="10" customWidth="1" min="13" max="13"/>
    <col width="25.75" customWidth="1" min="14" max="14"/>
    <col width="10" customWidth="1" min="15" max="15"/>
    <col width="10" customWidth="1" min="16" max="16"/>
    <col width="10" customWidth="1" min="17" max="17"/>
    <col width="24.5" customWidth="1" min="18" max="18"/>
    <col width="29.5" customWidth="1" min="19" max="19"/>
    <col width="10" customWidth="1" min="20" max="20"/>
    <col width="23.25" customWidth="1" min="21" max="21"/>
    <col width="22" customWidth="1" min="22" max="22"/>
    <col width="23.25" customWidth="1" min="23" max="23"/>
    <col width="23.25" customWidth="1" min="24" max="24"/>
    <col width="24.5" customWidth="1" min="25" max="25"/>
    <col width="24.5" customWidth="1" min="26" max="26"/>
    <col width="24.5" customWidth="1" min="27" max="27"/>
    <col width="10.75" customWidth="1" min="28" max="28"/>
    <col width="25.75" customWidth="1" min="29" max="29"/>
    <col width="12" customWidth="1" min="30" max="30"/>
    <col width="10" customWidth="1" min="31" max="31"/>
    <col width="10" customWidth="1" min="32" max="32"/>
    <col width="24.5" customWidth="1" min="33" max="33"/>
    <col width="24.5" customWidth="1" min="34" max="34"/>
  </cols>
  <sheetData>
    <row r="1">
      <c r="A1" s="5" t="inlineStr">
        <is>
          <t>企业代号</t>
        </is>
      </c>
      <c r="B1" s="5" t="inlineStr">
        <is>
          <t>调整后违约概率</t>
        </is>
      </c>
      <c r="C1" s="5" t="inlineStr">
        <is>
          <t>调整后等级</t>
        </is>
      </c>
      <c r="D1" s="5" t="inlineStr">
        <is>
          <t>TOPSIS得分</t>
        </is>
      </c>
      <c r="E1" s="5" t="inlineStr">
        <is>
          <t>D_pos</t>
        </is>
      </c>
      <c r="F1" s="5" t="inlineStr">
        <is>
          <t>D_neg</t>
        </is>
      </c>
      <c r="G1" s="5" t="inlineStr">
        <is>
          <t>PD排名</t>
        </is>
      </c>
      <c r="H1" s="5" t="inlineStr">
        <is>
          <t>TOPSIS排名</t>
        </is>
      </c>
      <c r="I1" s="5" t="inlineStr">
        <is>
          <t>企业名称</t>
        </is>
      </c>
      <c r="J1" s="5" t="inlineStr">
        <is>
          <t>硬性禁贷</t>
        </is>
      </c>
      <c r="K1" s="5" t="inlineStr">
        <is>
          <t>行业类别</t>
        </is>
      </c>
      <c r="L1" s="5" t="inlineStr">
        <is>
          <t>行业识别置信度</t>
        </is>
      </c>
      <c r="M1" s="5" t="inlineStr">
        <is>
          <t>冲击系数</t>
        </is>
      </c>
      <c r="N1" s="5" t="inlineStr">
        <is>
          <t>原违约概率</t>
        </is>
      </c>
      <c r="O1" s="5" t="inlineStr">
        <is>
          <t>原风险等级</t>
        </is>
      </c>
      <c r="P1" s="5" t="inlineStr">
        <is>
          <t>调整后额度</t>
        </is>
      </c>
      <c r="Q1" s="5" t="inlineStr">
        <is>
          <t>调整后利率</t>
        </is>
      </c>
      <c r="R1" s="5" t="inlineStr">
        <is>
          <t>调整后预计流失率</t>
        </is>
      </c>
      <c r="S1" s="5" t="inlineStr">
        <is>
          <t>单位额度期望收益</t>
        </is>
      </c>
      <c r="T1" s="5" t="inlineStr">
        <is>
          <t>禁贷原因</t>
        </is>
      </c>
      <c r="U1" s="5" t="inlineStr">
        <is>
          <t>客户留存率</t>
        </is>
      </c>
      <c r="V1" s="5" t="inlineStr">
        <is>
          <t>预计实际放款额</t>
        </is>
      </c>
      <c r="W1" s="5" t="inlineStr">
        <is>
          <t>名义利息</t>
        </is>
      </c>
      <c r="X1" s="5" t="inlineStr">
        <is>
          <t>预计留存后利息</t>
        </is>
      </c>
      <c r="Y1" s="5" t="inlineStr">
        <is>
          <t>预计违约损失</t>
        </is>
      </c>
      <c r="Z1" s="5" t="inlineStr">
        <is>
          <t>预计资金成本</t>
        </is>
      </c>
      <c r="AA1" s="5" t="inlineStr">
        <is>
          <t>调整后期望净收益</t>
        </is>
      </c>
      <c r="AB1" s="5" t="inlineStr">
        <is>
          <t>预算强制负收益</t>
        </is>
      </c>
      <c r="AC1" s="5" t="inlineStr">
        <is>
          <t>原违约概率_策略</t>
        </is>
      </c>
      <c r="AD1" s="5" t="inlineStr">
        <is>
          <t>原风险等级_策略</t>
        </is>
      </c>
      <c r="AE1" s="5" t="inlineStr">
        <is>
          <t>原贷款额度</t>
        </is>
      </c>
      <c r="AF1" s="5" t="inlineStr">
        <is>
          <t>原贷款利率</t>
        </is>
      </c>
      <c r="AG1" s="5" t="inlineStr">
        <is>
          <t>原预计流失率</t>
        </is>
      </c>
      <c r="AH1" s="5" t="inlineStr">
        <is>
          <t>原期望净收益</t>
        </is>
      </c>
    </row>
    <row r="2">
      <c r="A2" s="6" t="inlineStr">
        <is>
          <t>E131</t>
        </is>
      </c>
      <c r="B2" s="6" t="n">
        <v>0.01409433955447803</v>
      </c>
      <c r="C2" s="6" t="inlineStr">
        <is>
          <t>A</t>
        </is>
      </c>
      <c r="D2" s="6" t="n">
        <v>0.782123075968717</v>
      </c>
      <c r="E2" s="6" t="n">
        <v>0.06706110412285542</v>
      </c>
      <c r="F2" s="6" t="n">
        <v>0.2407324101330494</v>
      </c>
      <c r="G2" s="6" t="n">
        <v>1</v>
      </c>
      <c r="H2" s="6" t="n">
        <v>7</v>
      </c>
      <c r="I2" s="6" t="inlineStr">
        <is>
          <t xml:space="preserve">个体经营E131 </t>
        </is>
      </c>
      <c r="J2" s="6" t="b">
        <v>0</v>
      </c>
      <c r="K2" s="6" t="inlineStr">
        <is>
          <t>未知</t>
        </is>
      </c>
      <c r="L2" s="6" t="n">
        <v>0</v>
      </c>
      <c r="M2" s="6" t="n">
        <v>1</v>
      </c>
      <c r="N2" s="6" t="n">
        <v>0.01409433955447803</v>
      </c>
      <c r="O2" s="6" t="inlineStr">
        <is>
          <t>A</t>
        </is>
      </c>
      <c r="P2" s="6" t="n">
        <v>100</v>
      </c>
      <c r="Q2" s="6" t="n">
        <v>0.0745</v>
      </c>
      <c r="R2" s="6" t="n">
        <v>0.511096611982035</v>
      </c>
      <c r="S2" s="6" t="n">
        <v>0.01955289309902884</v>
      </c>
      <c r="T2" s="6" t="inlineStr"/>
      <c r="U2" s="6" t="n">
        <v>0.488903388017965</v>
      </c>
      <c r="V2" s="6" t="n">
        <v>48.8903388017965</v>
      </c>
      <c r="W2" s="6" t="n">
        <v>7.449999999999999</v>
      </c>
      <c r="X2" s="6" t="n">
        <v>3.590994001551393</v>
      </c>
      <c r="Y2" s="6" t="n">
        <v>0.4134462216035955</v>
      </c>
      <c r="Z2" s="6" t="n">
        <v>1.222258470044912</v>
      </c>
      <c r="AA2" s="9">
        <f>P2*(1-R2)*((1-B2)*Q2-B2*'模型说明与假设'!$B$7-'模型说明与假设'!$B$8)</f>
        <v/>
      </c>
      <c r="AB2" s="6" t="b">
        <v>0</v>
      </c>
      <c r="AC2" s="6" t="n">
        <v>0.01409433955447803</v>
      </c>
      <c r="AD2" s="6" t="inlineStr">
        <is>
          <t>A</t>
        </is>
      </c>
      <c r="AE2" s="6" t="n">
        <v>100</v>
      </c>
      <c r="AF2" s="6" t="n">
        <v>0.0745</v>
      </c>
      <c r="AG2" s="6" t="n">
        <v>0.511096611982035</v>
      </c>
      <c r="AH2" s="6" t="n">
        <v>1.955289309902885</v>
      </c>
    </row>
    <row r="3">
      <c r="A3" s="6" t="inlineStr">
        <is>
          <t>E134</t>
        </is>
      </c>
      <c r="B3" s="6" t="n">
        <v>0.01465792026087819</v>
      </c>
      <c r="C3" s="6" t="inlineStr">
        <is>
          <t>A</t>
        </is>
      </c>
      <c r="D3" s="6" t="n">
        <v>0.8165852092211051</v>
      </c>
      <c r="E3" s="6" t="n">
        <v>0.05505878233309731</v>
      </c>
      <c r="F3" s="6" t="n">
        <v>0.2451284713735586</v>
      </c>
      <c r="G3" s="6" t="n">
        <v>2</v>
      </c>
      <c r="H3" s="6" t="n">
        <v>1</v>
      </c>
      <c r="I3" s="6" t="inlineStr">
        <is>
          <t>***工程咨询有限公司</t>
        </is>
      </c>
      <c r="J3" s="6" t="b">
        <v>0</v>
      </c>
      <c r="K3" s="6" t="inlineStr">
        <is>
          <t>其他</t>
        </is>
      </c>
      <c r="L3" s="6" t="n">
        <v>0.3</v>
      </c>
      <c r="M3" s="6" t="n">
        <v>1</v>
      </c>
      <c r="N3" s="6" t="n">
        <v>0.01465792026087819</v>
      </c>
      <c r="O3" s="6" t="inlineStr">
        <is>
          <t>A</t>
        </is>
      </c>
      <c r="P3" s="6" t="n">
        <v>100</v>
      </c>
      <c r="Q3" s="6" t="n">
        <v>0.0745</v>
      </c>
      <c r="R3" s="6" t="n">
        <v>0.511096611982035</v>
      </c>
      <c r="S3" s="6" t="n">
        <v>0.01936704371846033</v>
      </c>
      <c r="T3" s="6" t="inlineStr"/>
      <c r="U3" s="6" t="n">
        <v>0.488903388017965</v>
      </c>
      <c r="V3" s="6" t="n">
        <v>48.8903388017965</v>
      </c>
      <c r="W3" s="6" t="n">
        <v>7.449999999999999</v>
      </c>
      <c r="X3" s="6" t="n">
        <v>3.588941254501377</v>
      </c>
      <c r="Y3" s="6" t="n">
        <v>0.4299784126104312</v>
      </c>
      <c r="Z3" s="6" t="n">
        <v>1.222258470044912</v>
      </c>
      <c r="AA3" s="9">
        <f>P3*(1-R3)*((1-B3)*Q3-B3*'模型说明与假设'!$B$7-'模型说明与假设'!$B$8)</f>
        <v/>
      </c>
      <c r="AB3" s="6" t="b">
        <v>0</v>
      </c>
      <c r="AC3" s="6" t="n">
        <v>0.01465792026087819</v>
      </c>
      <c r="AD3" s="6" t="inlineStr">
        <is>
          <t>A</t>
        </is>
      </c>
      <c r="AE3" s="6" t="n">
        <v>100</v>
      </c>
      <c r="AF3" s="6" t="n">
        <v>0.0745</v>
      </c>
      <c r="AG3" s="6" t="n">
        <v>0.511096611982035</v>
      </c>
      <c r="AH3" s="6" t="n">
        <v>1.936704371846034</v>
      </c>
    </row>
    <row r="4">
      <c r="A4" s="6" t="inlineStr">
        <is>
          <t>E193</t>
        </is>
      </c>
      <c r="B4" s="6" t="n">
        <v>0.01582816664461734</v>
      </c>
      <c r="C4" s="6" t="inlineStr">
        <is>
          <t>A</t>
        </is>
      </c>
      <c r="D4" s="6" t="n">
        <v>0.7689180986126891</v>
      </c>
      <c r="E4" s="6" t="n">
        <v>0.07375434227197601</v>
      </c>
      <c r="F4" s="6" t="n">
        <v>0.2454153626213472</v>
      </c>
      <c r="G4" s="6" t="n">
        <v>3</v>
      </c>
      <c r="H4" s="6" t="n">
        <v>16</v>
      </c>
      <c r="I4" s="6" t="inlineStr">
        <is>
          <t xml:space="preserve">个体经营E193 </t>
        </is>
      </c>
      <c r="J4" s="6" t="b">
        <v>0</v>
      </c>
      <c r="K4" s="6" t="inlineStr">
        <is>
          <t>未知</t>
        </is>
      </c>
      <c r="L4" s="6" t="n">
        <v>0</v>
      </c>
      <c r="M4" s="6" t="n">
        <v>1</v>
      </c>
      <c r="N4" s="6" t="n">
        <v>0.01582816664461734</v>
      </c>
      <c r="O4" s="6" t="inlineStr">
        <is>
          <t>A</t>
        </is>
      </c>
      <c r="P4" s="6" t="n">
        <v>100</v>
      </c>
      <c r="Q4" s="6" t="n">
        <v>0.0745</v>
      </c>
      <c r="R4" s="6" t="n">
        <v>0.511096611982035</v>
      </c>
      <c r="S4" s="6" t="n">
        <v>0.0189811370274388</v>
      </c>
      <c r="T4" s="6" t="inlineStr"/>
      <c r="U4" s="6" t="n">
        <v>0.488903388017965</v>
      </c>
      <c r="V4" s="6" t="n">
        <v>48.8903388017965</v>
      </c>
      <c r="W4" s="6" t="n">
        <v>7.449999999999999</v>
      </c>
      <c r="X4" s="6" t="n">
        <v>3.584678830708774</v>
      </c>
      <c r="Y4" s="6" t="n">
        <v>0.4643066579199817</v>
      </c>
      <c r="Z4" s="6" t="n">
        <v>1.222258470044912</v>
      </c>
      <c r="AA4" s="9">
        <f>P4*(1-R4)*((1-B4)*Q4-B4*'模型说明与假设'!$B$7-'模型说明与假设'!$B$8)</f>
        <v/>
      </c>
      <c r="AB4" s="6" t="b">
        <v>0</v>
      </c>
      <c r="AC4" s="6" t="n">
        <v>0.01582816664461734</v>
      </c>
      <c r="AD4" s="6" t="inlineStr">
        <is>
          <t>A</t>
        </is>
      </c>
      <c r="AE4" s="6" t="n">
        <v>100</v>
      </c>
      <c r="AF4" s="6" t="n">
        <v>0.0745</v>
      </c>
      <c r="AG4" s="6" t="n">
        <v>0.511096611982035</v>
      </c>
      <c r="AH4" s="6" t="n">
        <v>1.89811370274388</v>
      </c>
    </row>
    <row r="5">
      <c r="A5" s="6" t="inlineStr">
        <is>
          <t>E141</t>
        </is>
      </c>
      <c r="B5" s="6" t="n">
        <v>0.01637722471754487</v>
      </c>
      <c r="C5" s="6" t="inlineStr">
        <is>
          <t>A</t>
        </is>
      </c>
      <c r="D5" s="6" t="n">
        <v>0.7974374482046912</v>
      </c>
      <c r="E5" s="6" t="n">
        <v>0.06179947891264528</v>
      </c>
      <c r="F5" s="6" t="n">
        <v>0.2432888918889538</v>
      </c>
      <c r="G5" s="6" t="n">
        <v>4</v>
      </c>
      <c r="H5" s="6" t="n">
        <v>4</v>
      </c>
      <c r="I5" s="6" t="inlineStr">
        <is>
          <t>***食品有限公司</t>
        </is>
      </c>
      <c r="J5" s="6" t="b">
        <v>0</v>
      </c>
      <c r="K5" s="6" t="inlineStr">
        <is>
          <t>其他</t>
        </is>
      </c>
      <c r="L5" s="6" t="n">
        <v>0.3</v>
      </c>
      <c r="M5" s="6" t="n">
        <v>1</v>
      </c>
      <c r="N5" s="6" t="n">
        <v>0.01637722471754487</v>
      </c>
      <c r="O5" s="6" t="inlineStr">
        <is>
          <t>A</t>
        </is>
      </c>
      <c r="P5" s="6" t="n">
        <v>100</v>
      </c>
      <c r="Q5" s="6" t="n">
        <v>0.0745</v>
      </c>
      <c r="R5" s="6" t="n">
        <v>0.511096611982035</v>
      </c>
      <c r="S5" s="6" t="n">
        <v>0.01880007670796565</v>
      </c>
      <c r="T5" s="6" t="inlineStr"/>
      <c r="U5" s="6" t="n">
        <v>0.488903388017965</v>
      </c>
      <c r="V5" s="6" t="n">
        <v>48.8903388017965</v>
      </c>
      <c r="W5" s="6" t="n">
        <v>7.449999999999999</v>
      </c>
      <c r="X5" s="6" t="n">
        <v>3.582678979885831</v>
      </c>
      <c r="Y5" s="6" t="n">
        <v>0.4804128390443546</v>
      </c>
      <c r="Z5" s="6" t="n">
        <v>1.222258470044912</v>
      </c>
      <c r="AA5" s="9">
        <f>P5*(1-R5)*((1-B5)*Q5-B5*'模型说明与假设'!$B$7-'模型说明与假设'!$B$8)</f>
        <v/>
      </c>
      <c r="AB5" s="6" t="b">
        <v>0</v>
      </c>
      <c r="AC5" s="6" t="n">
        <v>0.01637722471754487</v>
      </c>
      <c r="AD5" s="6" t="inlineStr">
        <is>
          <t>A</t>
        </is>
      </c>
      <c r="AE5" s="6" t="n">
        <v>100</v>
      </c>
      <c r="AF5" s="6" t="n">
        <v>0.0745</v>
      </c>
      <c r="AG5" s="6" t="n">
        <v>0.511096611982035</v>
      </c>
      <c r="AH5" s="6" t="n">
        <v>1.880007670796564</v>
      </c>
    </row>
    <row r="6">
      <c r="A6" s="6" t="inlineStr">
        <is>
          <t>E129</t>
        </is>
      </c>
      <c r="B6" s="6" t="n">
        <v>0.01644921563307852</v>
      </c>
      <c r="C6" s="6" t="inlineStr">
        <is>
          <t>A</t>
        </is>
      </c>
      <c r="D6" s="6" t="n">
        <v>0.789053140394565</v>
      </c>
      <c r="E6" s="6" t="n">
        <v>0.06589469527289403</v>
      </c>
      <c r="F6" s="6" t="n">
        <v>0.2464811106345586</v>
      </c>
      <c r="G6" s="6" t="n">
        <v>5</v>
      </c>
      <c r="H6" s="6" t="n">
        <v>5</v>
      </c>
      <c r="I6" s="6" t="inlineStr">
        <is>
          <t xml:space="preserve">个体经营E129 </t>
        </is>
      </c>
      <c r="J6" s="6" t="b">
        <v>0</v>
      </c>
      <c r="K6" s="6" t="inlineStr">
        <is>
          <t>未知</t>
        </is>
      </c>
      <c r="L6" s="6" t="n">
        <v>0</v>
      </c>
      <c r="M6" s="6" t="n">
        <v>1</v>
      </c>
      <c r="N6" s="6" t="n">
        <v>0.01644921563307851</v>
      </c>
      <c r="O6" s="6" t="inlineStr">
        <is>
          <t>A</t>
        </is>
      </c>
      <c r="P6" s="6" t="n">
        <v>100</v>
      </c>
      <c r="Q6" s="6" t="n">
        <v>0.0745</v>
      </c>
      <c r="R6" s="6" t="n">
        <v>0.511096611982035</v>
      </c>
      <c r="S6" s="6" t="n">
        <v>0.01877633659957203</v>
      </c>
      <c r="T6" s="6" t="inlineStr"/>
      <c r="U6" s="6" t="n">
        <v>0.488903388017965</v>
      </c>
      <c r="V6" s="6" t="n">
        <v>48.8903388017965</v>
      </c>
      <c r="W6" s="6" t="n">
        <v>7.449999999999999</v>
      </c>
      <c r="X6" s="6" t="n">
        <v>3.582416765197125</v>
      </c>
      <c r="Y6" s="6" t="n">
        <v>0.4825246351950096</v>
      </c>
      <c r="Z6" s="6" t="n">
        <v>1.222258470044912</v>
      </c>
      <c r="AA6" s="9">
        <f>P6*(1-R6)*((1-B6)*Q6-B6*'模型说明与假设'!$B$7-'模型说明与假设'!$B$8)</f>
        <v/>
      </c>
      <c r="AB6" s="6" t="b">
        <v>0</v>
      </c>
      <c r="AC6" s="6" t="n">
        <v>0.01644921563307851</v>
      </c>
      <c r="AD6" s="6" t="inlineStr">
        <is>
          <t>A</t>
        </is>
      </c>
      <c r="AE6" s="6" t="n">
        <v>100</v>
      </c>
      <c r="AF6" s="6" t="n">
        <v>0.0745</v>
      </c>
      <c r="AG6" s="6" t="n">
        <v>0.511096611982035</v>
      </c>
      <c r="AH6" s="6" t="n">
        <v>1.877633659957203</v>
      </c>
    </row>
    <row r="7">
      <c r="A7" s="6" t="inlineStr">
        <is>
          <t>E194</t>
        </is>
      </c>
      <c r="B7" s="6" t="n">
        <v>0.01689116311405442</v>
      </c>
      <c r="C7" s="6" t="inlineStr">
        <is>
          <t>A</t>
        </is>
      </c>
      <c r="D7" s="6" t="n">
        <v>0.7987294624026758</v>
      </c>
      <c r="E7" s="6" t="n">
        <v>0.06223700388599493</v>
      </c>
      <c r="F7" s="6" t="n">
        <v>0.2469836333168062</v>
      </c>
      <c r="G7" s="6" t="n">
        <v>6</v>
      </c>
      <c r="H7" s="6" t="n">
        <v>3</v>
      </c>
      <c r="I7" s="6" t="inlineStr">
        <is>
          <t>***文化传播有限公司</t>
        </is>
      </c>
      <c r="J7" s="6" t="b">
        <v>0</v>
      </c>
      <c r="K7" s="6" t="inlineStr">
        <is>
          <t>其他</t>
        </is>
      </c>
      <c r="L7" s="6" t="n">
        <v>0.3</v>
      </c>
      <c r="M7" s="6" t="n">
        <v>1</v>
      </c>
      <c r="N7" s="6" t="n">
        <v>0.01689116311405442</v>
      </c>
      <c r="O7" s="6" t="inlineStr">
        <is>
          <t>A</t>
        </is>
      </c>
      <c r="P7" s="6" t="n">
        <v>100</v>
      </c>
      <c r="Q7" s="6" t="n">
        <v>0.0745</v>
      </c>
      <c r="R7" s="6" t="n">
        <v>0.511096611982035</v>
      </c>
      <c r="S7" s="6" t="n">
        <v>0.0186305976403592</v>
      </c>
      <c r="T7" s="6" t="inlineStr"/>
      <c r="U7" s="6" t="n">
        <v>0.488903388017965</v>
      </c>
      <c r="V7" s="6" t="n">
        <v>48.8903388017965</v>
      </c>
      <c r="W7" s="6" t="n">
        <v>7.449999999999999</v>
      </c>
      <c r="X7" s="6" t="n">
        <v>3.58080704652235</v>
      </c>
      <c r="Y7" s="6" t="n">
        <v>0.4954888124415172</v>
      </c>
      <c r="Z7" s="6" t="n">
        <v>1.222258470044912</v>
      </c>
      <c r="AA7" s="9">
        <f>P7*(1-R7)*((1-B7)*Q7-B7*'模型说明与假设'!$B$7-'模型说明与假设'!$B$8)</f>
        <v/>
      </c>
      <c r="AB7" s="6" t="b">
        <v>0</v>
      </c>
      <c r="AC7" s="6" t="n">
        <v>0.01689116311405442</v>
      </c>
      <c r="AD7" s="6" t="inlineStr">
        <is>
          <t>A</t>
        </is>
      </c>
      <c r="AE7" s="6" t="n">
        <v>100</v>
      </c>
      <c r="AF7" s="6" t="n">
        <v>0.0745</v>
      </c>
      <c r="AG7" s="6" t="n">
        <v>0.511096611982035</v>
      </c>
      <c r="AH7" s="6" t="n">
        <v>1.863059764035921</v>
      </c>
    </row>
    <row r="8">
      <c r="A8" s="6" t="inlineStr">
        <is>
          <t>E138</t>
        </is>
      </c>
      <c r="B8" s="6" t="n">
        <v>0.01820365162389506</v>
      </c>
      <c r="C8" s="6" t="inlineStr">
        <is>
          <t>A</t>
        </is>
      </c>
      <c r="D8" s="6" t="n">
        <v>0.7568530970846399</v>
      </c>
      <c r="E8" s="6" t="n">
        <v>0.0756568718370547</v>
      </c>
      <c r="F8" s="6" t="n">
        <v>0.2355001732658023</v>
      </c>
      <c r="G8" s="6" t="n">
        <v>7</v>
      </c>
      <c r="H8" s="6" t="n">
        <v>27</v>
      </c>
      <c r="I8" s="6" t="inlineStr">
        <is>
          <t xml:space="preserve">个体经营E138 </t>
        </is>
      </c>
      <c r="J8" s="6" t="b">
        <v>0</v>
      </c>
      <c r="K8" s="6" t="inlineStr">
        <is>
          <t>未知</t>
        </is>
      </c>
      <c r="L8" s="6" t="n">
        <v>0</v>
      </c>
      <c r="M8" s="6" t="n">
        <v>1</v>
      </c>
      <c r="N8" s="6" t="n">
        <v>0.01820365162389506</v>
      </c>
      <c r="O8" s="6" t="inlineStr">
        <is>
          <t>A</t>
        </is>
      </c>
      <c r="P8" s="6" t="n">
        <v>100</v>
      </c>
      <c r="Q8" s="6" t="n">
        <v>0.0745</v>
      </c>
      <c r="R8" s="6" t="n">
        <v>0.511096611982035</v>
      </c>
      <c r="S8" s="6" t="n">
        <v>0.01819778442694168</v>
      </c>
      <c r="T8" s="6" t="inlineStr"/>
      <c r="U8" s="6" t="n">
        <v>0.488903388017965</v>
      </c>
      <c r="V8" s="6" t="n">
        <v>48.8903388017965</v>
      </c>
      <c r="W8" s="6" t="n">
        <v>7.449999999999999</v>
      </c>
      <c r="X8" s="6" t="n">
        <v>3.576026529932342</v>
      </c>
      <c r="Y8" s="6" t="n">
        <v>0.5339896171932614</v>
      </c>
      <c r="Z8" s="6" t="n">
        <v>1.222258470044912</v>
      </c>
      <c r="AA8" s="9">
        <f>P8*(1-R8)*((1-B8)*Q8-B8*'模型说明与假设'!$B$7-'模型说明与假设'!$B$8)</f>
        <v/>
      </c>
      <c r="AB8" s="6" t="b">
        <v>0</v>
      </c>
      <c r="AC8" s="6" t="n">
        <v>0.01820365162389506</v>
      </c>
      <c r="AD8" s="6" t="inlineStr">
        <is>
          <t>A</t>
        </is>
      </c>
      <c r="AE8" s="6" t="n">
        <v>100</v>
      </c>
      <c r="AF8" s="6" t="n">
        <v>0.0745</v>
      </c>
      <c r="AG8" s="6" t="n">
        <v>0.511096611982035</v>
      </c>
      <c r="AH8" s="6" t="n">
        <v>1.819778442694168</v>
      </c>
    </row>
    <row r="9">
      <c r="A9" s="6" t="inlineStr">
        <is>
          <t>E238</t>
        </is>
      </c>
      <c r="B9" s="6" t="n">
        <v>0.01837065317456444</v>
      </c>
      <c r="C9" s="6" t="inlineStr">
        <is>
          <t>A</t>
        </is>
      </c>
      <c r="D9" s="6" t="n">
        <v>0.7771538440062898</v>
      </c>
      <c r="E9" s="6" t="n">
        <v>0.06902399898424255</v>
      </c>
      <c r="F9" s="6" t="n">
        <v>0.2407143434899745</v>
      </c>
      <c r="G9" s="6" t="n">
        <v>8</v>
      </c>
      <c r="H9" s="6" t="n">
        <v>12</v>
      </c>
      <c r="I9" s="6" t="inlineStr">
        <is>
          <t xml:space="preserve">个体经营E238 </t>
        </is>
      </c>
      <c r="J9" s="6" t="b">
        <v>0</v>
      </c>
      <c r="K9" s="6" t="inlineStr">
        <is>
          <t>未知</t>
        </is>
      </c>
      <c r="L9" s="6" t="n">
        <v>0</v>
      </c>
      <c r="M9" s="6" t="n">
        <v>1</v>
      </c>
      <c r="N9" s="6" t="n">
        <v>0.01837065317456444</v>
      </c>
      <c r="O9" s="6" t="inlineStr">
        <is>
          <t>A</t>
        </is>
      </c>
      <c r="P9" s="6" t="n">
        <v>100</v>
      </c>
      <c r="Q9" s="6" t="n">
        <v>0.0745</v>
      </c>
      <c r="R9" s="6" t="n">
        <v>0.511096611982035</v>
      </c>
      <c r="S9" s="6" t="n">
        <v>0.01814271310460325</v>
      </c>
      <c r="T9" s="6" t="inlineStr"/>
      <c r="U9" s="6" t="n">
        <v>0.488903388017965</v>
      </c>
      <c r="V9" s="6" t="n">
        <v>48.8903388017965</v>
      </c>
      <c r="W9" s="6" t="n">
        <v>7.449999999999999</v>
      </c>
      <c r="X9" s="6" t="n">
        <v>3.575418255134089</v>
      </c>
      <c r="Y9" s="6" t="n">
        <v>0.5388884746288521</v>
      </c>
      <c r="Z9" s="6" t="n">
        <v>1.222258470044912</v>
      </c>
      <c r="AA9" s="9">
        <f>P9*(1-R9)*((1-B9)*Q9-B9*'模型说明与假设'!$B$7-'模型说明与假设'!$B$8)</f>
        <v/>
      </c>
      <c r="AB9" s="6" t="b">
        <v>0</v>
      </c>
      <c r="AC9" s="6" t="n">
        <v>0.01837065317456444</v>
      </c>
      <c r="AD9" s="6" t="inlineStr">
        <is>
          <t>A</t>
        </is>
      </c>
      <c r="AE9" s="6" t="n">
        <v>100</v>
      </c>
      <c r="AF9" s="6" t="n">
        <v>0.0745</v>
      </c>
      <c r="AG9" s="6" t="n">
        <v>0.511096611982035</v>
      </c>
      <c r="AH9" s="6" t="n">
        <v>1.814271310460325</v>
      </c>
    </row>
    <row r="10">
      <c r="A10" s="6" t="inlineStr">
        <is>
          <t>E139</t>
        </is>
      </c>
      <c r="B10" s="6" t="n">
        <v>0.01982193705546853</v>
      </c>
      <c r="C10" s="6" t="inlineStr">
        <is>
          <t>A</t>
        </is>
      </c>
      <c r="D10" s="6" t="n">
        <v>0.7505516168870732</v>
      </c>
      <c r="E10" s="6" t="n">
        <v>0.08012127565279802</v>
      </c>
      <c r="F10" s="6" t="n">
        <v>0.2410725306687551</v>
      </c>
      <c r="G10" s="6" t="n">
        <v>9</v>
      </c>
      <c r="H10" s="6" t="n">
        <v>32</v>
      </c>
      <c r="I10" s="6" t="inlineStr">
        <is>
          <t xml:space="preserve">个体经营E139 </t>
        </is>
      </c>
      <c r="J10" s="6" t="b">
        <v>0</v>
      </c>
      <c r="K10" s="6" t="inlineStr">
        <is>
          <t>未知</t>
        </is>
      </c>
      <c r="L10" s="6" t="n">
        <v>0</v>
      </c>
      <c r="M10" s="6" t="n">
        <v>1</v>
      </c>
      <c r="N10" s="6" t="n">
        <v>0.01982193705546853</v>
      </c>
      <c r="O10" s="6" t="inlineStr">
        <is>
          <t>A</t>
        </is>
      </c>
      <c r="P10" s="6" t="n">
        <v>100</v>
      </c>
      <c r="Q10" s="6" t="n">
        <v>0.0745</v>
      </c>
      <c r="R10" s="6" t="n">
        <v>0.511096611982035</v>
      </c>
      <c r="S10" s="6" t="n">
        <v>0.01766412998912026</v>
      </c>
      <c r="T10" s="6" t="inlineStr"/>
      <c r="U10" s="6" t="n">
        <v>0.488903388017965</v>
      </c>
      <c r="V10" s="6" t="n">
        <v>48.8903388017965</v>
      </c>
      <c r="W10" s="6" t="n">
        <v>7.449999999999999</v>
      </c>
      <c r="X10" s="6" t="n">
        <v>3.570132199966783</v>
      </c>
      <c r="Y10" s="6" t="n">
        <v>0.5814607310098446</v>
      </c>
      <c r="Z10" s="6" t="n">
        <v>1.222258470044912</v>
      </c>
      <c r="AA10" s="9">
        <f>P10*(1-R10)*((1-B10)*Q10-B10*'模型说明与假设'!$B$7-'模型说明与假设'!$B$8)</f>
        <v/>
      </c>
      <c r="AB10" s="6" t="b">
        <v>0</v>
      </c>
      <c r="AC10" s="6" t="n">
        <v>0.01982193705546853</v>
      </c>
      <c r="AD10" s="6" t="inlineStr">
        <is>
          <t>A</t>
        </is>
      </c>
      <c r="AE10" s="6" t="n">
        <v>100</v>
      </c>
      <c r="AF10" s="6" t="n">
        <v>0.0745</v>
      </c>
      <c r="AG10" s="6" t="n">
        <v>0.511096611982035</v>
      </c>
      <c r="AH10" s="6" t="n">
        <v>1.766412998912026</v>
      </c>
    </row>
    <row r="11">
      <c r="A11" s="6" t="inlineStr">
        <is>
          <t>E167</t>
        </is>
      </c>
      <c r="B11" s="6" t="n">
        <v>0.02005104304122679</v>
      </c>
      <c r="C11" s="6" t="inlineStr">
        <is>
          <t>A</t>
        </is>
      </c>
      <c r="D11" s="6" t="n">
        <v>0.6025061412332869</v>
      </c>
      <c r="E11" s="6" t="n">
        <v>0.1394121375836802</v>
      </c>
      <c r="F11" s="6" t="n">
        <v>0.2113156397365233</v>
      </c>
      <c r="G11" s="6" t="n">
        <v>10</v>
      </c>
      <c r="H11" s="6" t="n">
        <v>220</v>
      </c>
      <c r="I11" s="6" t="inlineStr">
        <is>
          <t>***体育文化股份有限公司</t>
        </is>
      </c>
      <c r="J11" s="6" t="b">
        <v>0</v>
      </c>
      <c r="K11" s="6" t="inlineStr">
        <is>
          <t>其他</t>
        </is>
      </c>
      <c r="L11" s="6" t="n">
        <v>0.3</v>
      </c>
      <c r="M11" s="6" t="n">
        <v>1</v>
      </c>
      <c r="N11" s="6" t="n">
        <v>0.02005104304122679</v>
      </c>
      <c r="O11" s="6" t="inlineStr">
        <is>
          <t>A</t>
        </is>
      </c>
      <c r="P11" s="6" t="n">
        <v>100</v>
      </c>
      <c r="Q11" s="6" t="n">
        <v>0.0745</v>
      </c>
      <c r="R11" s="6" t="n">
        <v>0.511096611982035</v>
      </c>
      <c r="S11" s="6" t="n">
        <v>0.01758857877692621</v>
      </c>
      <c r="T11" s="6" t="inlineStr"/>
      <c r="U11" s="6" t="n">
        <v>0.488903388017965</v>
      </c>
      <c r="V11" s="6" t="n">
        <v>48.8903388017965</v>
      </c>
      <c r="W11" s="6" t="n">
        <v>7.449999999999999</v>
      </c>
      <c r="X11" s="6" t="n">
        <v>3.569297720306523</v>
      </c>
      <c r="Y11" s="6" t="n">
        <v>0.5881813725689891</v>
      </c>
      <c r="Z11" s="6" t="n">
        <v>1.222258470044912</v>
      </c>
      <c r="AA11" s="9">
        <f>P11*(1-R11)*((1-B11)*Q11-B11*'模型说明与假设'!$B$7-'模型说明与假设'!$B$8)</f>
        <v/>
      </c>
      <c r="AB11" s="6" t="b">
        <v>0</v>
      </c>
      <c r="AC11" s="6" t="n">
        <v>0.02005104304122679</v>
      </c>
      <c r="AD11" s="6" t="inlineStr">
        <is>
          <t>A</t>
        </is>
      </c>
      <c r="AE11" s="6" t="n">
        <v>100</v>
      </c>
      <c r="AF11" s="6" t="n">
        <v>0.0745</v>
      </c>
      <c r="AG11" s="6" t="n">
        <v>0.511096611982035</v>
      </c>
      <c r="AH11" s="6" t="n">
        <v>1.758857877692621</v>
      </c>
    </row>
    <row r="12">
      <c r="A12" s="6" t="inlineStr">
        <is>
          <t>E273</t>
        </is>
      </c>
      <c r="B12" s="6" t="n">
        <v>0.02065041060301468</v>
      </c>
      <c r="C12" s="6" t="inlineStr">
        <is>
          <t>A</t>
        </is>
      </c>
      <c r="D12" s="6" t="n">
        <v>0.7417846449767738</v>
      </c>
      <c r="E12" s="6" t="n">
        <v>0.08052395012531177</v>
      </c>
      <c r="F12" s="6" t="n">
        <v>0.2313240812129822</v>
      </c>
      <c r="G12" s="6" t="n">
        <v>11</v>
      </c>
      <c r="H12" s="6" t="n">
        <v>49</v>
      </c>
      <c r="I12" s="6" t="inlineStr">
        <is>
          <t xml:space="preserve">个体经营E273 </t>
        </is>
      </c>
      <c r="J12" s="6" t="b">
        <v>0</v>
      </c>
      <c r="K12" s="6" t="inlineStr">
        <is>
          <t>未知</t>
        </is>
      </c>
      <c r="L12" s="6" t="n">
        <v>0</v>
      </c>
      <c r="M12" s="6" t="n">
        <v>1</v>
      </c>
      <c r="N12" s="6" t="n">
        <v>0.02065041060301468</v>
      </c>
      <c r="O12" s="6" t="inlineStr">
        <is>
          <t>A</t>
        </is>
      </c>
      <c r="P12" s="6" t="n">
        <v>100</v>
      </c>
      <c r="Q12" s="6" t="n">
        <v>0.0745</v>
      </c>
      <c r="R12" s="6" t="n">
        <v>0.511096611982035</v>
      </c>
      <c r="S12" s="6" t="n">
        <v>0.01739092813199437</v>
      </c>
      <c r="T12" s="6" t="inlineStr"/>
      <c r="U12" s="6" t="n">
        <v>0.488903388017965</v>
      </c>
      <c r="V12" s="6" t="n">
        <v>48.8903388017965</v>
      </c>
      <c r="W12" s="6" t="n">
        <v>7.449999999999999</v>
      </c>
      <c r="X12" s="6" t="n">
        <v>3.567114625710908</v>
      </c>
      <c r="Y12" s="6" t="n">
        <v>0.6057633424665591</v>
      </c>
      <c r="Z12" s="6" t="n">
        <v>1.222258470044912</v>
      </c>
      <c r="AA12" s="9">
        <f>P12*(1-R12)*((1-B12)*Q12-B12*'模型说明与假设'!$B$7-'模型说明与假设'!$B$8)</f>
        <v/>
      </c>
      <c r="AB12" s="6" t="b">
        <v>0</v>
      </c>
      <c r="AC12" s="6" t="n">
        <v>0.02065041060301468</v>
      </c>
      <c r="AD12" s="6" t="inlineStr">
        <is>
          <t>A</t>
        </is>
      </c>
      <c r="AE12" s="6" t="n">
        <v>100</v>
      </c>
      <c r="AF12" s="6" t="n">
        <v>0.0745</v>
      </c>
      <c r="AG12" s="6" t="n">
        <v>0.511096611982035</v>
      </c>
      <c r="AH12" s="6" t="n">
        <v>1.739092813199437</v>
      </c>
    </row>
    <row r="13">
      <c r="A13" s="6" t="inlineStr">
        <is>
          <t>E197</t>
        </is>
      </c>
      <c r="B13" s="6" t="n">
        <v>0.01921037538546518</v>
      </c>
      <c r="C13" s="6" t="inlineStr">
        <is>
          <t>A</t>
        </is>
      </c>
      <c r="D13" s="6" t="n">
        <v>0.8135203583378118</v>
      </c>
      <c r="E13" s="6" t="n">
        <v>0.05554982138746382</v>
      </c>
      <c r="F13" s="6" t="n">
        <v>0.2423369661048324</v>
      </c>
      <c r="G13" s="6" t="n">
        <v>12</v>
      </c>
      <c r="H13" s="6" t="n">
        <v>2</v>
      </c>
      <c r="I13" s="6" t="inlineStr">
        <is>
          <t>***医疗设备有限公司</t>
        </is>
      </c>
      <c r="J13" s="6" t="b">
        <v>0</v>
      </c>
      <c r="K13" s="6" t="inlineStr">
        <is>
          <t>正面/轻影响</t>
        </is>
      </c>
      <c r="L13" s="6" t="n">
        <v>0.9</v>
      </c>
      <c r="M13" s="6" t="n">
        <v>0.9</v>
      </c>
      <c r="N13" s="6" t="n">
        <v>0.02129939826871391</v>
      </c>
      <c r="O13" s="6" t="inlineStr">
        <is>
          <t>A</t>
        </is>
      </c>
      <c r="P13" s="6" t="n">
        <v>100</v>
      </c>
      <c r="Q13" s="6" t="n">
        <v>0.0745</v>
      </c>
      <c r="R13" s="6" t="n">
        <v>0.511096611982035</v>
      </c>
      <c r="S13" s="6" t="n">
        <v>0.01786580182823547</v>
      </c>
      <c r="T13" s="6" t="inlineStr"/>
      <c r="U13" s="6" t="n">
        <v>0.488903388017965</v>
      </c>
      <c r="V13" s="6" t="n">
        <v>48.8903388017965</v>
      </c>
      <c r="W13" s="6" t="n">
        <v>7.449999999999999</v>
      </c>
      <c r="X13" s="6" t="n">
        <v>3.57235970953151</v>
      </c>
      <c r="Y13" s="6" t="n">
        <v>0.5635210566630506</v>
      </c>
      <c r="Z13" s="6" t="n">
        <v>1.222258470044912</v>
      </c>
      <c r="AA13" s="9">
        <f>P13*(1-R13)*((1-B13)*Q13-B13*'模型说明与假设'!$B$7-'模型说明与假设'!$B$8)</f>
        <v/>
      </c>
      <c r="AB13" s="6" t="b">
        <v>0</v>
      </c>
      <c r="AC13" s="6" t="n">
        <v>0.02129939826871391</v>
      </c>
      <c r="AD13" s="6" t="inlineStr">
        <is>
          <t>A</t>
        </is>
      </c>
      <c r="AE13" s="6" t="n">
        <v>100</v>
      </c>
      <c r="AF13" s="6" t="n">
        <v>0.0745</v>
      </c>
      <c r="AG13" s="6" t="n">
        <v>0.511096611982035</v>
      </c>
      <c r="AH13" s="6" t="n">
        <v>1.717691449686263</v>
      </c>
    </row>
    <row r="14">
      <c r="A14" s="6" t="inlineStr">
        <is>
          <t>E171</t>
        </is>
      </c>
      <c r="B14" s="6" t="n">
        <v>0.02190552089168732</v>
      </c>
      <c r="C14" s="6" t="inlineStr">
        <is>
          <t>A</t>
        </is>
      </c>
      <c r="D14" s="6" t="n">
        <v>0.7872548722134433</v>
      </c>
      <c r="E14" s="6" t="n">
        <v>0.06405675276918882</v>
      </c>
      <c r="F14" s="6" t="n">
        <v>0.237039462385763</v>
      </c>
      <c r="G14" s="6" t="n">
        <v>13</v>
      </c>
      <c r="H14" s="6" t="n">
        <v>6</v>
      </c>
      <c r="I14" s="6" t="inlineStr">
        <is>
          <t>***质量检验测试站</t>
        </is>
      </c>
      <c r="J14" s="6" t="b">
        <v>0</v>
      </c>
      <c r="K14" s="6" t="inlineStr">
        <is>
          <t>其他</t>
        </is>
      </c>
      <c r="L14" s="6" t="n">
        <v>0.3</v>
      </c>
      <c r="M14" s="6" t="n">
        <v>1</v>
      </c>
      <c r="N14" s="6" t="n">
        <v>0.02190552089168732</v>
      </c>
      <c r="O14" s="6" t="inlineStr">
        <is>
          <t>A</t>
        </is>
      </c>
      <c r="P14" s="6" t="n">
        <v>100</v>
      </c>
      <c r="Q14" s="6" t="n">
        <v>0.0745</v>
      </c>
      <c r="R14" s="6" t="n">
        <v>0.511096611982035</v>
      </c>
      <c r="S14" s="6" t="n">
        <v>0.01697703626691452</v>
      </c>
      <c r="T14" s="6" t="inlineStr"/>
      <c r="U14" s="6" t="n">
        <v>0.488903388017965</v>
      </c>
      <c r="V14" s="6" t="n">
        <v>48.8903388017965</v>
      </c>
      <c r="W14" s="6" t="n">
        <v>7.449999999999999</v>
      </c>
      <c r="X14" s="6" t="n">
        <v>3.562543099551019</v>
      </c>
      <c r="Y14" s="6" t="n">
        <v>0.6425810028146546</v>
      </c>
      <c r="Z14" s="6" t="n">
        <v>1.222258470044912</v>
      </c>
      <c r="AA14" s="9">
        <f>P14*(1-R14)*((1-B14)*Q14-B14*'模型说明与假设'!$B$7-'模型说明与假设'!$B$8)</f>
        <v/>
      </c>
      <c r="AB14" s="6" t="b">
        <v>0</v>
      </c>
      <c r="AC14" s="6" t="n">
        <v>0.02190552089168732</v>
      </c>
      <c r="AD14" s="6" t="inlineStr">
        <is>
          <t>A</t>
        </is>
      </c>
      <c r="AE14" s="6" t="n">
        <v>100</v>
      </c>
      <c r="AF14" s="6" t="n">
        <v>0.0745</v>
      </c>
      <c r="AG14" s="6" t="n">
        <v>0.511096611982035</v>
      </c>
      <c r="AH14" s="6" t="n">
        <v>1.697703626691452</v>
      </c>
    </row>
    <row r="15">
      <c r="A15" s="6" t="inlineStr">
        <is>
          <t>E195</t>
        </is>
      </c>
      <c r="B15" s="6" t="n">
        <v>0.02039621664165498</v>
      </c>
      <c r="C15" s="6" t="inlineStr">
        <is>
          <t>A</t>
        </is>
      </c>
      <c r="D15" s="6" t="n">
        <v>0.7492865078729684</v>
      </c>
      <c r="E15" s="6" t="n">
        <v>0.07822528268947267</v>
      </c>
      <c r="F15" s="6" t="n">
        <v>0.233785379464431</v>
      </c>
      <c r="G15" s="6" t="n">
        <v>14</v>
      </c>
      <c r="H15" s="6" t="n">
        <v>37</v>
      </c>
      <c r="I15" s="6" t="inlineStr">
        <is>
          <t>***医药有限公司</t>
        </is>
      </c>
      <c r="J15" s="6" t="b">
        <v>0</v>
      </c>
      <c r="K15" s="6" t="inlineStr">
        <is>
          <t>正面/轻影响</t>
        </is>
      </c>
      <c r="L15" s="6" t="n">
        <v>0.9</v>
      </c>
      <c r="M15" s="6" t="n">
        <v>0.9</v>
      </c>
      <c r="N15" s="6" t="n">
        <v>0.02261122034088277</v>
      </c>
      <c r="O15" s="6" t="inlineStr">
        <is>
          <t>A</t>
        </is>
      </c>
      <c r="P15" s="6" t="n">
        <v>100</v>
      </c>
      <c r="Q15" s="6" t="n">
        <v>0.0745</v>
      </c>
      <c r="R15" s="6" t="n">
        <v>0.511096611982035</v>
      </c>
      <c r="S15" s="6" t="n">
        <v>0.01747475248887256</v>
      </c>
      <c r="T15" s="6" t="inlineStr"/>
      <c r="U15" s="6" t="n">
        <v>0.488903388017965</v>
      </c>
      <c r="V15" s="6" t="n">
        <v>48.8903388017965</v>
      </c>
      <c r="W15" s="6" t="n">
        <v>7.449999999999999</v>
      </c>
      <c r="X15" s="6" t="n">
        <v>3.56804048406338</v>
      </c>
      <c r="Y15" s="6" t="n">
        <v>0.5983067651312113</v>
      </c>
      <c r="Z15" s="6" t="n">
        <v>1.222258470044912</v>
      </c>
      <c r="AA15" s="9">
        <f>P15*(1-R15)*((1-B15)*Q15-B15*'模型说明与假设'!$B$7-'模型说明与假设'!$B$8)</f>
        <v/>
      </c>
      <c r="AB15" s="6" t="b">
        <v>0</v>
      </c>
      <c r="AC15" s="6" t="n">
        <v>0.02261122034088277</v>
      </c>
      <c r="AD15" s="6" t="inlineStr">
        <is>
          <t>A</t>
        </is>
      </c>
      <c r="AE15" s="6" t="n">
        <v>100</v>
      </c>
      <c r="AF15" s="6" t="n">
        <v>0.0985</v>
      </c>
      <c r="AG15" s="6" t="n">
        <v>0.708302023264193</v>
      </c>
      <c r="AH15" s="6" t="n">
        <v>1.683274170344514</v>
      </c>
    </row>
    <row r="16">
      <c r="A16" s="6" t="inlineStr">
        <is>
          <t>E127</t>
        </is>
      </c>
      <c r="B16" s="6" t="n">
        <v>0.02263237919955923</v>
      </c>
      <c r="C16" s="6" t="inlineStr">
        <is>
          <t>A</t>
        </is>
      </c>
      <c r="D16" s="6" t="n">
        <v>0.7437499037576402</v>
      </c>
      <c r="E16" s="6" t="n">
        <v>0.08425720383960886</v>
      </c>
      <c r="F16" s="6" t="n">
        <v>0.2445512730162159</v>
      </c>
      <c r="G16" s="6" t="n">
        <v>15</v>
      </c>
      <c r="H16" s="6" t="n">
        <v>47</v>
      </c>
      <c r="I16" s="6" t="inlineStr">
        <is>
          <t xml:space="preserve">个体经营E127 </t>
        </is>
      </c>
      <c r="J16" s="6" t="b">
        <v>0</v>
      </c>
      <c r="K16" s="6" t="inlineStr">
        <is>
          <t>未知</t>
        </is>
      </c>
      <c r="L16" s="6" t="n">
        <v>0</v>
      </c>
      <c r="M16" s="6" t="n">
        <v>1</v>
      </c>
      <c r="N16" s="6" t="n">
        <v>0.02263237919955923</v>
      </c>
      <c r="O16" s="6" t="inlineStr">
        <is>
          <t>A</t>
        </is>
      </c>
      <c r="P16" s="6" t="n">
        <v>100</v>
      </c>
      <c r="Q16" s="6" t="n">
        <v>0.0985</v>
      </c>
      <c r="R16" s="6" t="n">
        <v>0.708302023264193</v>
      </c>
      <c r="S16" s="6" t="n">
        <v>0.01682843056405336</v>
      </c>
      <c r="T16" s="6" t="inlineStr"/>
      <c r="U16" s="6" t="n">
        <v>0.291697976735807</v>
      </c>
      <c r="V16" s="6" t="n">
        <v>29.1697976735807</v>
      </c>
      <c r="W16" s="6" t="n">
        <v>9.85</v>
      </c>
      <c r="X16" s="6" t="n">
        <v>2.808197151518594</v>
      </c>
      <c r="Y16" s="6" t="n">
        <v>0.3961091532737395</v>
      </c>
      <c r="Z16" s="6" t="n">
        <v>0.7292449418395175</v>
      </c>
      <c r="AA16" s="9">
        <f>P16*(1-R16)*((1-B16)*Q16-B16*'模型说明与假设'!$B$7-'模型说明与假设'!$B$8)</f>
        <v/>
      </c>
      <c r="AB16" s="6" t="b">
        <v>0</v>
      </c>
      <c r="AC16" s="6" t="n">
        <v>0.02263237919955923</v>
      </c>
      <c r="AD16" s="6" t="inlineStr">
        <is>
          <t>A</t>
        </is>
      </c>
      <c r="AE16" s="6" t="n">
        <v>100</v>
      </c>
      <c r="AF16" s="6" t="n">
        <v>0.0985</v>
      </c>
      <c r="AG16" s="6" t="n">
        <v>0.708302023264193</v>
      </c>
      <c r="AH16" s="6" t="n">
        <v>1.682843056405336</v>
      </c>
    </row>
    <row r="17">
      <c r="A17" s="6" t="inlineStr">
        <is>
          <t>E185</t>
        </is>
      </c>
      <c r="B17" s="6" t="n">
        <v>0.02443992173750735</v>
      </c>
      <c r="C17" s="6" t="inlineStr">
        <is>
          <t>A</t>
        </is>
      </c>
      <c r="D17" s="6" t="n">
        <v>0.6951935689076699</v>
      </c>
      <c r="E17" s="6" t="n">
        <v>0.09786647204268893</v>
      </c>
      <c r="F17" s="6" t="n">
        <v>0.2232109792826206</v>
      </c>
      <c r="G17" s="6" t="n">
        <v>16</v>
      </c>
      <c r="H17" s="6" t="n">
        <v>121</v>
      </c>
      <c r="I17" s="6" t="inlineStr">
        <is>
          <t>***生态魔芋有限公司</t>
        </is>
      </c>
      <c r="J17" s="6" t="b">
        <v>0</v>
      </c>
      <c r="K17" s="6" t="inlineStr">
        <is>
          <t>其他</t>
        </is>
      </c>
      <c r="L17" s="6" t="n">
        <v>0.3</v>
      </c>
      <c r="M17" s="6" t="n">
        <v>1</v>
      </c>
      <c r="N17" s="6" t="n">
        <v>0.02443992173750735</v>
      </c>
      <c r="O17" s="6" t="inlineStr">
        <is>
          <t>A</t>
        </is>
      </c>
      <c r="P17" s="6" t="n">
        <v>100</v>
      </c>
      <c r="Q17" s="6" t="n">
        <v>0.0985</v>
      </c>
      <c r="R17" s="6" t="n">
        <v>0.708302023264193</v>
      </c>
      <c r="S17" s="6" t="n">
        <v>0.01646014189797678</v>
      </c>
      <c r="T17" s="6" t="inlineStr"/>
      <c r="U17" s="6" t="n">
        <v>0.291697976735807</v>
      </c>
      <c r="V17" s="6" t="n">
        <v>29.1697976735807</v>
      </c>
      <c r="W17" s="6" t="n">
        <v>9.85</v>
      </c>
      <c r="X17" s="6" t="n">
        <v>2.803003674981937</v>
      </c>
      <c r="Y17" s="6" t="n">
        <v>0.4277445433447417</v>
      </c>
      <c r="Z17" s="6" t="n">
        <v>0.7292449418395175</v>
      </c>
      <c r="AA17" s="9">
        <f>P17*(1-R17)*((1-B17)*Q17-B17*'模型说明与假设'!$B$7-'模型说明与假设'!$B$8)</f>
        <v/>
      </c>
      <c r="AB17" s="6" t="b">
        <v>0</v>
      </c>
      <c r="AC17" s="6" t="n">
        <v>0.02443992173750735</v>
      </c>
      <c r="AD17" s="6" t="inlineStr">
        <is>
          <t>A</t>
        </is>
      </c>
      <c r="AE17" s="6" t="n">
        <v>100</v>
      </c>
      <c r="AF17" s="6" t="n">
        <v>0.0985</v>
      </c>
      <c r="AG17" s="6" t="n">
        <v>0.708302023264193</v>
      </c>
      <c r="AH17" s="6" t="n">
        <v>1.646014189797678</v>
      </c>
    </row>
    <row r="18">
      <c r="A18" s="6" t="inlineStr">
        <is>
          <t>E152</t>
        </is>
      </c>
      <c r="B18" s="6" t="n">
        <v>0.02544519495368758</v>
      </c>
      <c r="C18" s="6" t="inlineStr">
        <is>
          <t>A</t>
        </is>
      </c>
      <c r="D18" s="6" t="n">
        <v>0.7412633640736952</v>
      </c>
      <c r="E18" s="6" t="n">
        <v>0.08347300923994008</v>
      </c>
      <c r="F18" s="6" t="n">
        <v>0.2391446554023237</v>
      </c>
      <c r="G18" s="6" t="n">
        <v>17</v>
      </c>
      <c r="H18" s="6" t="n">
        <v>50</v>
      </c>
      <c r="I18" s="6" t="inlineStr">
        <is>
          <t>***运贸有限责任公司</t>
        </is>
      </c>
      <c r="J18" s="6" t="b">
        <v>0</v>
      </c>
      <c r="K18" s="6" t="inlineStr">
        <is>
          <t>其他</t>
        </is>
      </c>
      <c r="L18" s="6" t="n">
        <v>0.3</v>
      </c>
      <c r="M18" s="6" t="n">
        <v>1</v>
      </c>
      <c r="N18" s="6" t="n">
        <v>0.02544519495368758</v>
      </c>
      <c r="O18" s="6" t="inlineStr">
        <is>
          <t>A</t>
        </is>
      </c>
      <c r="P18" s="6" t="n">
        <v>100</v>
      </c>
      <c r="Q18" s="6" t="n">
        <v>0.0985</v>
      </c>
      <c r="R18" s="6" t="n">
        <v>0.708302023264193</v>
      </c>
      <c r="S18" s="6" t="n">
        <v>0.01625531643796309</v>
      </c>
      <c r="T18" s="6" t="inlineStr"/>
      <c r="U18" s="6" t="n">
        <v>0.291697976735807</v>
      </c>
      <c r="V18" s="6" t="n">
        <v>29.1697976735807</v>
      </c>
      <c r="W18" s="6" t="n">
        <v>9.85</v>
      </c>
      <c r="X18" s="6" t="n">
        <v>2.800115298774156</v>
      </c>
      <c r="Y18" s="6" t="n">
        <v>0.44533871313833</v>
      </c>
      <c r="Z18" s="6" t="n">
        <v>0.7292449418395175</v>
      </c>
      <c r="AA18" s="9">
        <f>P18*(1-R18)*((1-B18)*Q18-B18*'模型说明与假设'!$B$7-'模型说明与假设'!$B$8)</f>
        <v/>
      </c>
      <c r="AB18" s="6" t="b">
        <v>0</v>
      </c>
      <c r="AC18" s="6" t="n">
        <v>0.02544519495368758</v>
      </c>
      <c r="AD18" s="6" t="inlineStr">
        <is>
          <t>A</t>
        </is>
      </c>
      <c r="AE18" s="6" t="n">
        <v>100</v>
      </c>
      <c r="AF18" s="6" t="n">
        <v>0.0985</v>
      </c>
      <c r="AG18" s="6" t="n">
        <v>0.708302023264193</v>
      </c>
      <c r="AH18" s="6" t="n">
        <v>1.625531643796309</v>
      </c>
    </row>
    <row r="19">
      <c r="A19" s="6" t="inlineStr">
        <is>
          <t>E126</t>
        </is>
      </c>
      <c r="B19" s="6" t="n">
        <v>0.02545191671898553</v>
      </c>
      <c r="C19" s="6" t="inlineStr">
        <is>
          <t>A</t>
        </is>
      </c>
      <c r="D19" s="6" t="n">
        <v>0.7751736769529918</v>
      </c>
      <c r="E19" s="6" t="n">
        <v>0.06997730050238775</v>
      </c>
      <c r="F19" s="6" t="n">
        <v>0.2412731774398966</v>
      </c>
      <c r="G19" s="6" t="n">
        <v>18</v>
      </c>
      <c r="H19" s="6" t="n">
        <v>14</v>
      </c>
      <c r="I19" s="6" t="inlineStr">
        <is>
          <t xml:space="preserve">个体经营E126 </t>
        </is>
      </c>
      <c r="J19" s="6" t="b">
        <v>0</v>
      </c>
      <c r="K19" s="6" t="inlineStr">
        <is>
          <t>未知</t>
        </is>
      </c>
      <c r="L19" s="6" t="n">
        <v>0</v>
      </c>
      <c r="M19" s="6" t="n">
        <v>1</v>
      </c>
      <c r="N19" s="6" t="n">
        <v>0.02545191671898553</v>
      </c>
      <c r="O19" s="6" t="inlineStr">
        <is>
          <t>A</t>
        </is>
      </c>
      <c r="P19" s="6" t="n">
        <v>100</v>
      </c>
      <c r="Q19" s="6" t="n">
        <v>0.0985</v>
      </c>
      <c r="R19" s="6" t="n">
        <v>0.708302023264193</v>
      </c>
      <c r="S19" s="6" t="n">
        <v>0.01625394687131484</v>
      </c>
      <c r="T19" s="6" t="inlineStr"/>
      <c r="U19" s="6" t="n">
        <v>0.291697976735807</v>
      </c>
      <c r="V19" s="6" t="n">
        <v>29.1697976735807</v>
      </c>
      <c r="W19" s="6" t="n">
        <v>9.85</v>
      </c>
      <c r="X19" s="6" t="n">
        <v>2.800095985629582</v>
      </c>
      <c r="Y19" s="6" t="n">
        <v>0.4454563566585804</v>
      </c>
      <c r="Z19" s="6" t="n">
        <v>0.7292449418395175</v>
      </c>
      <c r="AA19" s="9">
        <f>P19*(1-R19)*((1-B19)*Q19-B19*'模型说明与假设'!$B$7-'模型说明与假设'!$B$8)</f>
        <v/>
      </c>
      <c r="AB19" s="6" t="b">
        <v>0</v>
      </c>
      <c r="AC19" s="6" t="n">
        <v>0.02545191671898553</v>
      </c>
      <c r="AD19" s="6" t="inlineStr">
        <is>
          <t>A</t>
        </is>
      </c>
      <c r="AE19" s="6" t="n">
        <v>100</v>
      </c>
      <c r="AF19" s="6" t="n">
        <v>0.0985</v>
      </c>
      <c r="AG19" s="6" t="n">
        <v>0.708302023264193</v>
      </c>
      <c r="AH19" s="6" t="n">
        <v>1.625394687131484</v>
      </c>
    </row>
    <row r="20">
      <c r="A20" s="6" t="inlineStr">
        <is>
          <t>E124</t>
        </is>
      </c>
      <c r="B20" s="6" t="n">
        <v>0.02666265919539959</v>
      </c>
      <c r="C20" s="6" t="inlineStr">
        <is>
          <t>A</t>
        </is>
      </c>
      <c r="D20" s="6" t="n">
        <v>0.5895174730806948</v>
      </c>
      <c r="E20" s="6" t="n">
        <v>0.1444806079168198</v>
      </c>
      <c r="F20" s="6" t="n">
        <v>0.2074968781924063</v>
      </c>
      <c r="G20" s="6" t="n">
        <v>19</v>
      </c>
      <c r="H20" s="6" t="n">
        <v>232</v>
      </c>
      <c r="I20" s="6" t="inlineStr">
        <is>
          <t xml:space="preserve">个体经营E124 </t>
        </is>
      </c>
      <c r="J20" s="6" t="b">
        <v>0</v>
      </c>
      <c r="K20" s="6" t="inlineStr">
        <is>
          <t>未知</t>
        </is>
      </c>
      <c r="L20" s="6" t="n">
        <v>0</v>
      </c>
      <c r="M20" s="6" t="n">
        <v>1</v>
      </c>
      <c r="N20" s="6" t="n">
        <v>0.02666265919539959</v>
      </c>
      <c r="O20" s="6" t="inlineStr">
        <is>
          <t>A</t>
        </is>
      </c>
      <c r="P20" s="6" t="n">
        <v>100</v>
      </c>
      <c r="Q20" s="6" t="n">
        <v>0.0985</v>
      </c>
      <c r="R20" s="6" t="n">
        <v>0.708302023264193</v>
      </c>
      <c r="S20" s="6" t="n">
        <v>0.01600725683650826</v>
      </c>
      <c r="T20" s="6" t="inlineStr"/>
      <c r="U20" s="6" t="n">
        <v>0.291697976735807</v>
      </c>
      <c r="V20" s="6" t="n">
        <v>29.1697976735807</v>
      </c>
      <c r="W20" s="6" t="n">
        <v>9.85</v>
      </c>
      <c r="X20" s="6" t="n">
        <v>2.796617249992009</v>
      </c>
      <c r="Y20" s="6" t="n">
        <v>0.4666466245016652</v>
      </c>
      <c r="Z20" s="6" t="n">
        <v>0.7292449418395175</v>
      </c>
      <c r="AA20" s="9">
        <f>P20*(1-R20)*((1-B20)*Q20-B20*'模型说明与假设'!$B$7-'模型说明与假设'!$B$8)</f>
        <v/>
      </c>
      <c r="AB20" s="6" t="b">
        <v>0</v>
      </c>
      <c r="AC20" s="6" t="n">
        <v>0.02666265919539959</v>
      </c>
      <c r="AD20" s="6" t="inlineStr">
        <is>
          <t>A</t>
        </is>
      </c>
      <c r="AE20" s="6" t="n">
        <v>100</v>
      </c>
      <c r="AF20" s="6" t="n">
        <v>0.0985</v>
      </c>
      <c r="AG20" s="6" t="n">
        <v>0.708302023264193</v>
      </c>
      <c r="AH20" s="6" t="n">
        <v>1.600725683650827</v>
      </c>
    </row>
    <row r="21">
      <c r="A21" s="6" t="inlineStr">
        <is>
          <t>E125</t>
        </is>
      </c>
      <c r="B21" s="6" t="n">
        <v>0.02672265492519788</v>
      </c>
      <c r="C21" s="6" t="inlineStr">
        <is>
          <t>A</t>
        </is>
      </c>
      <c r="D21" s="6" t="n">
        <v>0.7403068159352404</v>
      </c>
      <c r="E21" s="6" t="n">
        <v>0.08141147495041717</v>
      </c>
      <c r="F21" s="6" t="n">
        <v>0.232079521140245</v>
      </c>
      <c r="G21" s="6" t="n">
        <v>20</v>
      </c>
      <c r="H21" s="6" t="n">
        <v>51</v>
      </c>
      <c r="I21" s="6" t="inlineStr">
        <is>
          <t xml:space="preserve">个体经营E125 </t>
        </is>
      </c>
      <c r="J21" s="6" t="b">
        <v>0</v>
      </c>
      <c r="K21" s="6" t="inlineStr">
        <is>
          <t>未知</t>
        </is>
      </c>
      <c r="L21" s="6" t="n">
        <v>0</v>
      </c>
      <c r="M21" s="6" t="n">
        <v>1</v>
      </c>
      <c r="N21" s="6" t="n">
        <v>0.02672265492519788</v>
      </c>
      <c r="O21" s="6" t="inlineStr">
        <is>
          <t>A</t>
        </is>
      </c>
      <c r="P21" s="6" t="n">
        <v>100</v>
      </c>
      <c r="Q21" s="6" t="n">
        <v>0.0985</v>
      </c>
      <c r="R21" s="6" t="n">
        <v>0.708302023264193</v>
      </c>
      <c r="S21" s="6" t="n">
        <v>0.01599503264436129</v>
      </c>
      <c r="T21" s="6" t="inlineStr"/>
      <c r="U21" s="6" t="n">
        <v>0.291697976735807</v>
      </c>
      <c r="V21" s="6" t="n">
        <v>29.1697976735807</v>
      </c>
      <c r="W21" s="6" t="n">
        <v>9.85</v>
      </c>
      <c r="X21" s="6" t="n">
        <v>2.796444868757009</v>
      </c>
      <c r="Y21" s="6" t="n">
        <v>0.467696662481362</v>
      </c>
      <c r="Z21" s="6" t="n">
        <v>0.7292449418395175</v>
      </c>
      <c r="AA21" s="9">
        <f>P21*(1-R21)*((1-B21)*Q21-B21*'模型说明与假设'!$B$7-'模型说明与假设'!$B$8)</f>
        <v/>
      </c>
      <c r="AB21" s="6" t="b">
        <v>0</v>
      </c>
      <c r="AC21" s="6" t="n">
        <v>0.02672265492519788</v>
      </c>
      <c r="AD21" s="6" t="inlineStr">
        <is>
          <t>A</t>
        </is>
      </c>
      <c r="AE21" s="6" t="n">
        <v>100</v>
      </c>
      <c r="AF21" s="6" t="n">
        <v>0.0985</v>
      </c>
      <c r="AG21" s="6" t="n">
        <v>0.708302023264193</v>
      </c>
      <c r="AH21" s="6" t="n">
        <v>1.599503264436129</v>
      </c>
    </row>
    <row r="22">
      <c r="A22" s="6" t="inlineStr">
        <is>
          <t>E176</t>
        </is>
      </c>
      <c r="B22" s="6" t="n">
        <v>0.02429377184376906</v>
      </c>
      <c r="C22" s="6" t="inlineStr">
        <is>
          <t>A</t>
        </is>
      </c>
      <c r="D22" s="6" t="n">
        <v>0.7806131248989533</v>
      </c>
      <c r="E22" s="6" t="n">
        <v>0.06793207212386718</v>
      </c>
      <c r="F22" s="6" t="n">
        <v>0.2417130335488334</v>
      </c>
      <c r="G22" s="6" t="n">
        <v>21</v>
      </c>
      <c r="H22" s="6" t="n">
        <v>8</v>
      </c>
      <c r="I22" s="6" t="inlineStr">
        <is>
          <t>***科技有限公司</t>
        </is>
      </c>
      <c r="J22" s="6" t="b">
        <v>0</v>
      </c>
      <c r="K22" s="6" t="inlineStr">
        <is>
          <t>正面/轻影响</t>
        </is>
      </c>
      <c r="L22" s="6" t="n">
        <v>0.9</v>
      </c>
      <c r="M22" s="6" t="n">
        <v>0.9</v>
      </c>
      <c r="N22" s="6" t="n">
        <v>0.02692041333978598</v>
      </c>
      <c r="O22" s="6" t="inlineStr">
        <is>
          <t>A</t>
        </is>
      </c>
      <c r="P22" s="6" t="n">
        <v>100</v>
      </c>
      <c r="Q22" s="6" t="n">
        <v>0.0985</v>
      </c>
      <c r="R22" s="6" t="n">
        <v>0.708302023264193</v>
      </c>
      <c r="S22" s="6" t="n">
        <v>0.01648992009034685</v>
      </c>
      <c r="T22" s="6" t="inlineStr"/>
      <c r="U22" s="6" t="n">
        <v>0.291697976735807</v>
      </c>
      <c r="V22" s="6" t="n">
        <v>29.1697976735807</v>
      </c>
      <c r="W22" s="6" t="n">
        <v>9.85</v>
      </c>
      <c r="X22" s="6" t="n">
        <v>2.803423596520728</v>
      </c>
      <c r="Y22" s="6" t="n">
        <v>0.4251866456465249</v>
      </c>
      <c r="Z22" s="6" t="n">
        <v>0.7292449418395175</v>
      </c>
      <c r="AA22" s="9">
        <f>P22*(1-R22)*((1-B22)*Q22-B22*'模型说明与假设'!$B$7-'模型说明与假设'!$B$8)</f>
        <v/>
      </c>
      <c r="AB22" s="6" t="b">
        <v>0</v>
      </c>
      <c r="AC22" s="6" t="n">
        <v>0.02692041333978598</v>
      </c>
      <c r="AD22" s="6" t="inlineStr">
        <is>
          <t>A</t>
        </is>
      </c>
      <c r="AE22" s="6" t="n">
        <v>100</v>
      </c>
      <c r="AF22" s="6" t="n">
        <v>0.0985</v>
      </c>
      <c r="AG22" s="6" t="n">
        <v>0.708302023264193</v>
      </c>
      <c r="AH22" s="6" t="n">
        <v>1.595473916236294</v>
      </c>
    </row>
    <row r="23">
      <c r="A23" s="6" t="inlineStr">
        <is>
          <t>E132</t>
        </is>
      </c>
      <c r="B23" s="6" t="n">
        <v>0.02837542524226984</v>
      </c>
      <c r="C23" s="6" t="inlineStr">
        <is>
          <t>A</t>
        </is>
      </c>
      <c r="D23" s="6" t="n">
        <v>0.7788442135414388</v>
      </c>
      <c r="E23" s="6" t="n">
        <v>0.06823028670631036</v>
      </c>
      <c r="F23" s="6" t="n">
        <v>0.2402865637858423</v>
      </c>
      <c r="G23" s="6" t="n">
        <v>22</v>
      </c>
      <c r="H23" s="6" t="n">
        <v>11</v>
      </c>
      <c r="I23" s="6" t="inlineStr">
        <is>
          <t xml:space="preserve">个体经营E132 </t>
        </is>
      </c>
      <c r="J23" s="6" t="b">
        <v>0</v>
      </c>
      <c r="K23" s="6" t="inlineStr">
        <is>
          <t>未知</t>
        </is>
      </c>
      <c r="L23" s="6" t="n">
        <v>0</v>
      </c>
      <c r="M23" s="6" t="n">
        <v>1</v>
      </c>
      <c r="N23" s="6" t="n">
        <v>0.02837542524226984</v>
      </c>
      <c r="O23" s="6" t="inlineStr">
        <is>
          <t>A</t>
        </is>
      </c>
      <c r="P23" s="6" t="n">
        <v>100</v>
      </c>
      <c r="Q23" s="6" t="n">
        <v>0.0985</v>
      </c>
      <c r="R23" s="6" t="n">
        <v>0.708302023264193</v>
      </c>
      <c r="S23" s="6" t="n">
        <v>0.01565827897874832</v>
      </c>
      <c r="T23" s="6" t="inlineStr"/>
      <c r="U23" s="6" t="n">
        <v>0.291697976735807</v>
      </c>
      <c r="V23" s="6" t="n">
        <v>29.1697976735807</v>
      </c>
      <c r="W23" s="6" t="n">
        <v>9.85</v>
      </c>
      <c r="X23" s="6" t="n">
        <v>2.791696087645644</v>
      </c>
      <c r="Y23" s="6" t="n">
        <v>0.4966232479312955</v>
      </c>
      <c r="Z23" s="6" t="n">
        <v>0.7292449418395175</v>
      </c>
      <c r="AA23" s="9">
        <f>P23*(1-R23)*((1-B23)*Q23-B23*'模型说明与假设'!$B$7-'模型说明与假设'!$B$8)</f>
        <v/>
      </c>
      <c r="AB23" s="6" t="b">
        <v>0</v>
      </c>
      <c r="AC23" s="6" t="n">
        <v>0.02837542524226984</v>
      </c>
      <c r="AD23" s="6" t="inlineStr">
        <is>
          <t>A</t>
        </is>
      </c>
      <c r="AE23" s="6" t="n">
        <v>100</v>
      </c>
      <c r="AF23" s="6" t="n">
        <v>0.0985</v>
      </c>
      <c r="AG23" s="6" t="n">
        <v>0.708302023264193</v>
      </c>
      <c r="AH23" s="6" t="n">
        <v>1.565827897874831</v>
      </c>
    </row>
    <row r="24">
      <c r="A24" s="6" t="inlineStr">
        <is>
          <t>E196</t>
        </is>
      </c>
      <c r="B24" s="6" t="n">
        <v>0.02950441186815579</v>
      </c>
      <c r="C24" s="6" t="inlineStr">
        <is>
          <t>A</t>
        </is>
      </c>
      <c r="D24" s="6" t="n">
        <v>0.7572938488334816</v>
      </c>
      <c r="E24" s="6" t="n">
        <v>0.0740356698750787</v>
      </c>
      <c r="F24" s="6" t="n">
        <v>0.2310067426028956</v>
      </c>
      <c r="G24" s="6" t="n">
        <v>23</v>
      </c>
      <c r="H24" s="6" t="n">
        <v>25</v>
      </c>
      <c r="I24" s="6" t="inlineStr">
        <is>
          <t>***地质制图印刷厂</t>
        </is>
      </c>
      <c r="J24" s="6" t="b">
        <v>0</v>
      </c>
      <c r="K24" s="6" t="inlineStr">
        <is>
          <t>其他</t>
        </is>
      </c>
      <c r="L24" s="6" t="n">
        <v>0.3</v>
      </c>
      <c r="M24" s="6" t="n">
        <v>1</v>
      </c>
      <c r="N24" s="6" t="n">
        <v>0.02950441186815578</v>
      </c>
      <c r="O24" s="6" t="inlineStr">
        <is>
          <t>A</t>
        </is>
      </c>
      <c r="P24" s="6" t="n">
        <v>100</v>
      </c>
      <c r="Q24" s="6" t="n">
        <v>0.0985</v>
      </c>
      <c r="R24" s="6" t="n">
        <v>0.708302023264193</v>
      </c>
      <c r="S24" s="6" t="n">
        <v>0.01542824678324721</v>
      </c>
      <c r="T24" s="6" t="inlineStr"/>
      <c r="U24" s="6" t="n">
        <v>0.291697976735807</v>
      </c>
      <c r="V24" s="6" t="n">
        <v>29.1697976735807</v>
      </c>
      <c r="W24" s="6" t="n">
        <v>9.85</v>
      </c>
      <c r="X24" s="6" t="n">
        <v>2.788452254967497</v>
      </c>
      <c r="Y24" s="6" t="n">
        <v>0.5163826348032585</v>
      </c>
      <c r="Z24" s="6" t="n">
        <v>0.7292449418395175</v>
      </c>
      <c r="AA24" s="9">
        <f>P24*(1-R24)*((1-B24)*Q24-B24*'模型说明与假设'!$B$7-'模型说明与假设'!$B$8)</f>
        <v/>
      </c>
      <c r="AB24" s="6" t="b">
        <v>0</v>
      </c>
      <c r="AC24" s="6" t="n">
        <v>0.02950441186815578</v>
      </c>
      <c r="AD24" s="6" t="inlineStr">
        <is>
          <t>A</t>
        </is>
      </c>
      <c r="AE24" s="6" t="n">
        <v>100</v>
      </c>
      <c r="AF24" s="6" t="n">
        <v>0.0985</v>
      </c>
      <c r="AG24" s="6" t="n">
        <v>0.708302023264193</v>
      </c>
      <c r="AH24" s="6" t="n">
        <v>1.542824678324721</v>
      </c>
    </row>
    <row r="25">
      <c r="A25" s="6" t="inlineStr">
        <is>
          <t>E173</t>
        </is>
      </c>
      <c r="B25" s="6" t="n">
        <v>0.03013138606303402</v>
      </c>
      <c r="C25" s="6" t="inlineStr">
        <is>
          <t>A</t>
        </is>
      </c>
      <c r="D25" s="6" t="n">
        <v>0.7377998274850279</v>
      </c>
      <c r="E25" s="6" t="n">
        <v>0.08005209825294156</v>
      </c>
      <c r="F25" s="6" t="n">
        <v>0.2252570000786793</v>
      </c>
      <c r="G25" s="6" t="n">
        <v>24</v>
      </c>
      <c r="H25" s="6" t="n">
        <v>55</v>
      </c>
      <c r="I25" s="6" t="inlineStr">
        <is>
          <t>***贸易有限责任公司</t>
        </is>
      </c>
      <c r="J25" s="6" t="b">
        <v>0</v>
      </c>
      <c r="K25" s="6" t="inlineStr">
        <is>
          <t>其他</t>
        </is>
      </c>
      <c r="L25" s="6" t="n">
        <v>0.3</v>
      </c>
      <c r="M25" s="6" t="n">
        <v>1</v>
      </c>
      <c r="N25" s="6" t="n">
        <v>0.03013138606303402</v>
      </c>
      <c r="O25" s="6" t="inlineStr">
        <is>
          <t>A</t>
        </is>
      </c>
      <c r="P25" s="6" t="n">
        <v>100</v>
      </c>
      <c r="Q25" s="6" t="n">
        <v>0.0985</v>
      </c>
      <c r="R25" s="6" t="n">
        <v>0.708302023264193</v>
      </c>
      <c r="S25" s="6" t="n">
        <v>0.0153005001410253</v>
      </c>
      <c r="T25" s="6" t="inlineStr"/>
      <c r="U25" s="6" t="n">
        <v>0.291697976735807</v>
      </c>
      <c r="V25" s="6" t="n">
        <v>29.1697976735807</v>
      </c>
      <c r="W25" s="6" t="n">
        <v>9.85</v>
      </c>
      <c r="X25" s="6" t="n">
        <v>2.786650816991999</v>
      </c>
      <c r="Y25" s="6" t="n">
        <v>0.527355861049951</v>
      </c>
      <c r="Z25" s="6" t="n">
        <v>0.7292449418395175</v>
      </c>
      <c r="AA25" s="9">
        <f>P25*(1-R25)*((1-B25)*Q25-B25*'模型说明与假设'!$B$7-'模型说明与假设'!$B$8)</f>
        <v/>
      </c>
      <c r="AB25" s="6" t="b">
        <v>0</v>
      </c>
      <c r="AC25" s="6" t="n">
        <v>0.03013138606303402</v>
      </c>
      <c r="AD25" s="6" t="inlineStr">
        <is>
          <t>A</t>
        </is>
      </c>
      <c r="AE25" s="6" t="n">
        <v>100</v>
      </c>
      <c r="AF25" s="6" t="n">
        <v>0.0985</v>
      </c>
      <c r="AG25" s="6" t="n">
        <v>0.708302023264193</v>
      </c>
      <c r="AH25" s="6" t="n">
        <v>1.53005001410253</v>
      </c>
    </row>
    <row r="26">
      <c r="A26" s="6" t="inlineStr">
        <is>
          <t>E145</t>
        </is>
      </c>
      <c r="B26" s="6" t="n">
        <v>0.03041075954799475</v>
      </c>
      <c r="C26" s="6" t="inlineStr">
        <is>
          <t>A</t>
        </is>
      </c>
      <c r="D26" s="6" t="n">
        <v>0.7572415285191874</v>
      </c>
      <c r="E26" s="6" t="n">
        <v>0.07324556475984055</v>
      </c>
      <c r="F26" s="6" t="n">
        <v>0.2284764073429118</v>
      </c>
      <c r="G26" s="6" t="n">
        <v>25</v>
      </c>
      <c r="H26" s="6" t="n">
        <v>26</v>
      </c>
      <c r="I26" s="6" t="inlineStr">
        <is>
          <t>***工贸有限公司</t>
        </is>
      </c>
      <c r="J26" s="6" t="b">
        <v>0</v>
      </c>
      <c r="K26" s="6" t="inlineStr">
        <is>
          <t>其他</t>
        </is>
      </c>
      <c r="L26" s="6" t="n">
        <v>0.3</v>
      </c>
      <c r="M26" s="6" t="n">
        <v>1</v>
      </c>
      <c r="N26" s="6" t="n">
        <v>0.03041075954799476</v>
      </c>
      <c r="O26" s="6" t="inlineStr">
        <is>
          <t>A</t>
        </is>
      </c>
      <c r="P26" s="6" t="n">
        <v>100</v>
      </c>
      <c r="Q26" s="6" t="n">
        <v>0.0985</v>
      </c>
      <c r="R26" s="6" t="n">
        <v>0.708302023264193</v>
      </c>
      <c r="S26" s="6" t="n">
        <v>0.0152435775038241</v>
      </c>
      <c r="T26" s="6" t="inlineStr"/>
      <c r="U26" s="6" t="n">
        <v>0.291697976735807</v>
      </c>
      <c r="V26" s="6" t="n">
        <v>29.1697976735807</v>
      </c>
      <c r="W26" s="6" t="n">
        <v>9.85</v>
      </c>
      <c r="X26" s="6" t="n">
        <v>2.78584811409088</v>
      </c>
      <c r="Y26" s="6" t="n">
        <v>0.5322454218689516</v>
      </c>
      <c r="Z26" s="6" t="n">
        <v>0.7292449418395175</v>
      </c>
      <c r="AA26" s="9">
        <f>P26*(1-R26)*((1-B26)*Q26-B26*'模型说明与假设'!$B$7-'模型说明与假设'!$B$8)</f>
        <v/>
      </c>
      <c r="AB26" s="6" t="b">
        <v>0</v>
      </c>
      <c r="AC26" s="6" t="n">
        <v>0.03041075954799476</v>
      </c>
      <c r="AD26" s="6" t="inlineStr">
        <is>
          <t>A</t>
        </is>
      </c>
      <c r="AE26" s="6" t="n">
        <v>100</v>
      </c>
      <c r="AF26" s="6" t="n">
        <v>0.0985</v>
      </c>
      <c r="AG26" s="6" t="n">
        <v>0.708302023264193</v>
      </c>
      <c r="AH26" s="6" t="n">
        <v>1.52435775038241</v>
      </c>
    </row>
    <row r="27">
      <c r="A27" s="6" t="inlineStr">
        <is>
          <t>E147</t>
        </is>
      </c>
      <c r="B27" s="6" t="n">
        <v>0.03634397930148443</v>
      </c>
      <c r="C27" s="6" t="inlineStr">
        <is>
          <t>A</t>
        </is>
      </c>
      <c r="D27" s="6" t="n">
        <v>0.7452530364215859</v>
      </c>
      <c r="E27" s="6" t="n">
        <v>0.07899200745174487</v>
      </c>
      <c r="F27" s="6" t="n">
        <v>0.2310882633477545</v>
      </c>
      <c r="G27" s="6" t="n">
        <v>26</v>
      </c>
      <c r="H27" s="6" t="n">
        <v>45</v>
      </c>
      <c r="I27" s="6" t="inlineStr">
        <is>
          <t>***装饰工程有限责任公司</t>
        </is>
      </c>
      <c r="J27" s="6" t="b">
        <v>0</v>
      </c>
      <c r="K27" s="6" t="inlineStr">
        <is>
          <t>中度负面</t>
        </is>
      </c>
      <c r="L27" s="6" t="n">
        <v>0.9</v>
      </c>
      <c r="M27" s="6" t="n">
        <v>1.15</v>
      </c>
      <c r="N27" s="6" t="n">
        <v>0.03175399065945604</v>
      </c>
      <c r="O27" s="6" t="inlineStr">
        <is>
          <t>A</t>
        </is>
      </c>
      <c r="P27" s="6" t="n">
        <v>100</v>
      </c>
      <c r="Q27" s="6" t="n">
        <v>0.0985</v>
      </c>
      <c r="R27" s="6" t="n">
        <v>0.708302023264193</v>
      </c>
      <c r="S27" s="6" t="n">
        <v>0.01403467782778523</v>
      </c>
      <c r="T27" s="6" t="inlineStr"/>
      <c r="U27" s="6" t="n">
        <v>0.291697976735807</v>
      </c>
      <c r="V27" s="6" t="n">
        <v>29.1697976735807</v>
      </c>
      <c r="W27" s="6" t="n">
        <v>9.85</v>
      </c>
      <c r="X27" s="6" t="n">
        <v>2.768800638344304</v>
      </c>
      <c r="Y27" s="6" t="n">
        <v>0.6360879137262633</v>
      </c>
      <c r="Z27" s="6" t="n">
        <v>0.7292449418395175</v>
      </c>
      <c r="AA27" s="9">
        <f>P27*(1-R27)*((1-B27)*Q27-B27*'模型说明与假设'!$B$7-'模型说明与假设'!$B$8)</f>
        <v/>
      </c>
      <c r="AB27" s="6" t="b">
        <v>0</v>
      </c>
      <c r="AC27" s="6" t="n">
        <v>0.03175399065945604</v>
      </c>
      <c r="AD27" s="6" t="inlineStr">
        <is>
          <t>A</t>
        </is>
      </c>
      <c r="AE27" s="6" t="n">
        <v>100</v>
      </c>
      <c r="AF27" s="6" t="n">
        <v>0.0985</v>
      </c>
      <c r="AG27" s="6" t="n">
        <v>0.708302023264193</v>
      </c>
      <c r="AH27" s="6" t="n">
        <v>1.496989277226906</v>
      </c>
    </row>
    <row r="28">
      <c r="A28" s="6" t="inlineStr">
        <is>
          <t>E165</t>
        </is>
      </c>
      <c r="B28" s="6" t="n">
        <v>0.03236858187002331</v>
      </c>
      <c r="C28" s="6" t="inlineStr">
        <is>
          <t>A</t>
        </is>
      </c>
      <c r="D28" s="6" t="n">
        <v>0.7480970497862371</v>
      </c>
      <c r="E28" s="6" t="n">
        <v>0.07735218303093362</v>
      </c>
      <c r="F28" s="6" t="n">
        <v>0.2297191830062374</v>
      </c>
      <c r="G28" s="6" t="n">
        <v>27</v>
      </c>
      <c r="H28" s="6" t="n">
        <v>40</v>
      </c>
      <c r="I28" s="6" t="inlineStr">
        <is>
          <t>***文化传媒股份有限公司</t>
        </is>
      </c>
      <c r="J28" s="6" t="b">
        <v>0</v>
      </c>
      <c r="K28" s="6" t="inlineStr">
        <is>
          <t>其他</t>
        </is>
      </c>
      <c r="L28" s="6" t="n">
        <v>0.3</v>
      </c>
      <c r="M28" s="6" t="n">
        <v>1</v>
      </c>
      <c r="N28" s="6" t="n">
        <v>0.03236858187002331</v>
      </c>
      <c r="O28" s="6" t="inlineStr">
        <is>
          <t>A</t>
        </is>
      </c>
      <c r="P28" s="6" t="n">
        <v>100</v>
      </c>
      <c r="Q28" s="6" t="n">
        <v>0.0985</v>
      </c>
      <c r="R28" s="6" t="n">
        <v>0.708302023264193</v>
      </c>
      <c r="S28" s="6" t="n">
        <v>0.01484466917593857</v>
      </c>
      <c r="T28" s="6" t="inlineStr"/>
      <c r="U28" s="6" t="n">
        <v>0.291697976735807</v>
      </c>
      <c r="V28" s="6" t="n">
        <v>29.1697976735807</v>
      </c>
      <c r="W28" s="6" t="n">
        <v>9.85</v>
      </c>
      <c r="X28" s="6" t="n">
        <v>2.780222849910961</v>
      </c>
      <c r="Y28" s="6" t="n">
        <v>0.5665109904775875</v>
      </c>
      <c r="Z28" s="6" t="n">
        <v>0.7292449418395175</v>
      </c>
      <c r="AA28" s="9">
        <f>P28*(1-R28)*((1-B28)*Q28-B28*'模型说明与假设'!$B$7-'模型说明与假设'!$B$8)</f>
        <v/>
      </c>
      <c r="AB28" s="6" t="b">
        <v>0</v>
      </c>
      <c r="AC28" s="6" t="n">
        <v>0.03236858187002331</v>
      </c>
      <c r="AD28" s="6" t="inlineStr">
        <is>
          <t>A</t>
        </is>
      </c>
      <c r="AE28" s="6" t="n">
        <v>100</v>
      </c>
      <c r="AF28" s="6" t="n">
        <v>0.0985</v>
      </c>
      <c r="AG28" s="6" t="n">
        <v>0.708302023264193</v>
      </c>
      <c r="AH28" s="6" t="n">
        <v>1.484466917593856</v>
      </c>
    </row>
    <row r="29">
      <c r="A29" s="6" t="inlineStr">
        <is>
          <t>E180</t>
        </is>
      </c>
      <c r="B29" s="6" t="n">
        <v>0.03240215203423331</v>
      </c>
      <c r="C29" s="6" t="inlineStr">
        <is>
          <t>A</t>
        </is>
      </c>
      <c r="D29" s="6" t="n">
        <v>0.7652543669516544</v>
      </c>
      <c r="E29" s="6" t="n">
        <v>0.07049235305539783</v>
      </c>
      <c r="F29" s="6" t="n">
        <v>0.2298001471287483</v>
      </c>
      <c r="G29" s="6" t="n">
        <v>28</v>
      </c>
      <c r="H29" s="6" t="n">
        <v>17</v>
      </c>
      <c r="I29" s="6" t="inlineStr">
        <is>
          <t>***电气有限公司</t>
        </is>
      </c>
      <c r="J29" s="6" t="b">
        <v>0</v>
      </c>
      <c r="K29" s="6" t="inlineStr">
        <is>
          <t>其他</t>
        </is>
      </c>
      <c r="L29" s="6" t="n">
        <v>0.3</v>
      </c>
      <c r="M29" s="6" t="n">
        <v>1</v>
      </c>
      <c r="N29" s="6" t="n">
        <v>0.03240215203423331</v>
      </c>
      <c r="O29" s="6" t="inlineStr">
        <is>
          <t>A</t>
        </is>
      </c>
      <c r="P29" s="6" t="n">
        <v>100</v>
      </c>
      <c r="Q29" s="6" t="n">
        <v>0.0985</v>
      </c>
      <c r="R29" s="6" t="n">
        <v>0.708302023264193</v>
      </c>
      <c r="S29" s="6" t="n">
        <v>0.01483782922017691</v>
      </c>
      <c r="T29" s="6" t="inlineStr"/>
      <c r="U29" s="6" t="n">
        <v>0.291697976735807</v>
      </c>
      <c r="V29" s="6" t="n">
        <v>29.1697976735807</v>
      </c>
      <c r="W29" s="6" t="n">
        <v>9.85</v>
      </c>
      <c r="X29" s="6" t="n">
        <v>2.780126395273521</v>
      </c>
      <c r="Y29" s="6" t="n">
        <v>0.5670985314163122</v>
      </c>
      <c r="Z29" s="6" t="n">
        <v>0.7292449418395175</v>
      </c>
      <c r="AA29" s="9">
        <f>P29*(1-R29)*((1-B29)*Q29-B29*'模型说明与假设'!$B$7-'模型说明与假设'!$B$8)</f>
        <v/>
      </c>
      <c r="AB29" s="6" t="b">
        <v>0</v>
      </c>
      <c r="AC29" s="6" t="n">
        <v>0.03240215203423331</v>
      </c>
      <c r="AD29" s="6" t="inlineStr">
        <is>
          <t>A</t>
        </is>
      </c>
      <c r="AE29" s="6" t="n">
        <v>100</v>
      </c>
      <c r="AF29" s="6" t="n">
        <v>0.0985</v>
      </c>
      <c r="AG29" s="6" t="n">
        <v>0.708302023264193</v>
      </c>
      <c r="AH29" s="6" t="n">
        <v>1.483782922017692</v>
      </c>
    </row>
    <row r="30">
      <c r="A30" s="6" t="inlineStr">
        <is>
          <t>E225</t>
        </is>
      </c>
      <c r="B30" s="6" t="n">
        <v>0.03276129700566233</v>
      </c>
      <c r="C30" s="6" t="inlineStr">
        <is>
          <t>A</t>
        </is>
      </c>
      <c r="D30" s="6" t="n">
        <v>0.7650917562704983</v>
      </c>
      <c r="E30" s="6" t="n">
        <v>0.07136089663949927</v>
      </c>
      <c r="F30" s="6" t="n">
        <v>0.2324211056714616</v>
      </c>
      <c r="G30" s="6" t="n">
        <v>29</v>
      </c>
      <c r="H30" s="6" t="n">
        <v>18</v>
      </c>
      <c r="I30" s="6" t="inlineStr">
        <is>
          <t>***物业服务有限责任公司***分公司</t>
        </is>
      </c>
      <c r="J30" s="6" t="b">
        <v>0</v>
      </c>
      <c r="K30" s="6" t="inlineStr">
        <is>
          <t>其他</t>
        </is>
      </c>
      <c r="L30" s="6" t="n">
        <v>0.3</v>
      </c>
      <c r="M30" s="6" t="n">
        <v>1</v>
      </c>
      <c r="N30" s="6" t="n">
        <v>0.03276129700566233</v>
      </c>
      <c r="O30" s="6" t="inlineStr">
        <is>
          <t>A</t>
        </is>
      </c>
      <c r="P30" s="6" t="n">
        <v>100</v>
      </c>
      <c r="Q30" s="6" t="n">
        <v>0.0985</v>
      </c>
      <c r="R30" s="6" t="n">
        <v>0.708302023264193</v>
      </c>
      <c r="S30" s="6" t="n">
        <v>0.01476465305990472</v>
      </c>
      <c r="T30" s="6" t="inlineStr"/>
      <c r="U30" s="6" t="n">
        <v>0.291697976735807</v>
      </c>
      <c r="V30" s="6" t="n">
        <v>29.1697976735807</v>
      </c>
      <c r="W30" s="6" t="n">
        <v>9.85</v>
      </c>
      <c r="X30" s="6" t="n">
        <v>2.779094490937542</v>
      </c>
      <c r="Y30" s="6" t="n">
        <v>0.5733842431075532</v>
      </c>
      <c r="Z30" s="6" t="n">
        <v>0.7292449418395175</v>
      </c>
      <c r="AA30" s="9">
        <f>P30*(1-R30)*((1-B30)*Q30-B30*'模型说明与假设'!$B$7-'模型说明与假设'!$B$8)</f>
        <v/>
      </c>
      <c r="AB30" s="6" t="b">
        <v>0</v>
      </c>
      <c r="AC30" s="6" t="n">
        <v>0.03276129700566233</v>
      </c>
      <c r="AD30" s="6" t="inlineStr">
        <is>
          <t>A</t>
        </is>
      </c>
      <c r="AE30" s="6" t="n">
        <v>100</v>
      </c>
      <c r="AF30" s="6" t="n">
        <v>0.0985</v>
      </c>
      <c r="AG30" s="6" t="n">
        <v>0.708302023264193</v>
      </c>
      <c r="AH30" s="6" t="n">
        <v>1.476465305990472</v>
      </c>
    </row>
    <row r="31">
      <c r="A31" s="6" t="inlineStr">
        <is>
          <t>E256</t>
        </is>
      </c>
      <c r="B31" s="6" t="n">
        <v>0.03300969402781491</v>
      </c>
      <c r="C31" s="6" t="inlineStr">
        <is>
          <t>A</t>
        </is>
      </c>
      <c r="D31" s="6" t="n">
        <v>0.7265149432915473</v>
      </c>
      <c r="E31" s="6" t="n">
        <v>0.08652348868398056</v>
      </c>
      <c r="F31" s="6" t="n">
        <v>0.2298502456813982</v>
      </c>
      <c r="G31" s="6" t="n">
        <v>30</v>
      </c>
      <c r="H31" s="6" t="n">
        <v>69</v>
      </c>
      <c r="I31" s="6" t="inlineStr">
        <is>
          <t>***物资有限公司</t>
        </is>
      </c>
      <c r="J31" s="6" t="b">
        <v>0</v>
      </c>
      <c r="K31" s="6" t="inlineStr">
        <is>
          <t>其他</t>
        </is>
      </c>
      <c r="L31" s="6" t="n">
        <v>0.3</v>
      </c>
      <c r="M31" s="6" t="n">
        <v>1</v>
      </c>
      <c r="N31" s="6" t="n">
        <v>0.0330096940278149</v>
      </c>
      <c r="O31" s="6" t="inlineStr">
        <is>
          <t>A</t>
        </is>
      </c>
      <c r="P31" s="6" t="n">
        <v>100</v>
      </c>
      <c r="Q31" s="6" t="n">
        <v>0.0985</v>
      </c>
      <c r="R31" s="6" t="n">
        <v>0.708302023264193</v>
      </c>
      <c r="S31" s="6" t="n">
        <v>0.01471404190911552</v>
      </c>
      <c r="T31" s="6" t="inlineStr"/>
      <c r="U31" s="6" t="n">
        <v>0.291697976735807</v>
      </c>
      <c r="V31" s="6" t="n">
        <v>29.1697976735807</v>
      </c>
      <c r="W31" s="6" t="n">
        <v>9.85</v>
      </c>
      <c r="X31" s="6" t="n">
        <v>2.778380790385969</v>
      </c>
      <c r="Y31" s="6" t="n">
        <v>0.5777316576348996</v>
      </c>
      <c r="Z31" s="6" t="n">
        <v>0.7292449418395175</v>
      </c>
      <c r="AA31" s="9">
        <f>P31*(1-R31)*((1-B31)*Q31-B31*'模型说明与假设'!$B$7-'模型说明与假设'!$B$8)</f>
        <v/>
      </c>
      <c r="AB31" s="6" t="b">
        <v>0</v>
      </c>
      <c r="AC31" s="6" t="n">
        <v>0.0330096940278149</v>
      </c>
      <c r="AD31" s="6" t="inlineStr">
        <is>
          <t>A</t>
        </is>
      </c>
      <c r="AE31" s="6" t="n">
        <v>100</v>
      </c>
      <c r="AF31" s="6" t="n">
        <v>0.0985</v>
      </c>
      <c r="AG31" s="6" t="n">
        <v>0.708302023264193</v>
      </c>
      <c r="AH31" s="6" t="n">
        <v>1.471404190911553</v>
      </c>
    </row>
    <row r="32">
      <c r="A32" s="6" t="inlineStr">
        <is>
          <t>E169</t>
        </is>
      </c>
      <c r="B32" s="6" t="n">
        <v>0.03783521905698024</v>
      </c>
      <c r="C32" s="6" t="inlineStr">
        <is>
          <t>A</t>
        </is>
      </c>
      <c r="D32" s="6" t="n">
        <v>0.7789189854574879</v>
      </c>
      <c r="E32" s="6" t="n">
        <v>0.06580557131361904</v>
      </c>
      <c r="F32" s="6" t="n">
        <v>0.2318480804474424</v>
      </c>
      <c r="G32" s="6" t="n">
        <v>31</v>
      </c>
      <c r="H32" s="6" t="n">
        <v>10</v>
      </c>
      <c r="I32" s="6" t="inlineStr">
        <is>
          <t>***建筑设计有限公司</t>
        </is>
      </c>
      <c r="J32" s="6" t="b">
        <v>0</v>
      </c>
      <c r="K32" s="6" t="inlineStr">
        <is>
          <t>中度负面</t>
        </is>
      </c>
      <c r="L32" s="6" t="n">
        <v>0.9</v>
      </c>
      <c r="M32" s="6" t="n">
        <v>1.15</v>
      </c>
      <c r="N32" s="6" t="n">
        <v>0.03306335910622766</v>
      </c>
      <c r="O32" s="6" t="inlineStr">
        <is>
          <t>A</t>
        </is>
      </c>
      <c r="P32" s="6" t="n">
        <v>100</v>
      </c>
      <c r="Q32" s="6" t="n">
        <v>0.0985</v>
      </c>
      <c r="R32" s="6" t="n">
        <v>0.708302023264193</v>
      </c>
      <c r="S32" s="6" t="n">
        <v>0.0137308361815602</v>
      </c>
      <c r="T32" s="6" t="inlineStr"/>
      <c r="U32" s="6" t="n">
        <v>0.291697976735807</v>
      </c>
      <c r="V32" s="6" t="n">
        <v>29.1697976735807</v>
      </c>
      <c r="W32" s="6" t="n">
        <v>9.85</v>
      </c>
      <c r="X32" s="6" t="n">
        <v>2.764515970892169</v>
      </c>
      <c r="Y32" s="6" t="n">
        <v>0.6621874108966311</v>
      </c>
      <c r="Z32" s="6" t="n">
        <v>0.7292449418395175</v>
      </c>
      <c r="AA32" s="9">
        <f>P32*(1-R32)*((1-B32)*Q32-B32*'模型说明与假设'!$B$7-'模型说明与假设'!$B$8)</f>
        <v/>
      </c>
      <c r="AB32" s="6" t="b">
        <v>0</v>
      </c>
      <c r="AC32" s="6" t="n">
        <v>0.03306335910622766</v>
      </c>
      <c r="AD32" s="6" t="inlineStr">
        <is>
          <t>A</t>
        </is>
      </c>
      <c r="AE32" s="6" t="n">
        <v>100</v>
      </c>
      <c r="AF32" s="6" t="n">
        <v>0.0985</v>
      </c>
      <c r="AG32" s="6" t="n">
        <v>0.708302023264193</v>
      </c>
      <c r="AH32" s="6" t="n">
        <v>1.470310759375166</v>
      </c>
    </row>
    <row r="33">
      <c r="A33" s="6" t="inlineStr">
        <is>
          <t>E188</t>
        </is>
      </c>
      <c r="B33" s="6" t="n">
        <v>0.03408241972540585</v>
      </c>
      <c r="C33" s="6" t="inlineStr">
        <is>
          <t>A</t>
        </is>
      </c>
      <c r="D33" s="6" t="n">
        <v>0.7499575758104792</v>
      </c>
      <c r="E33" s="6" t="n">
        <v>0.0761038649158035</v>
      </c>
      <c r="F33" s="6" t="n">
        <v>0.2282599451955567</v>
      </c>
      <c r="G33" s="6" t="n">
        <v>32</v>
      </c>
      <c r="H33" s="6" t="n">
        <v>35</v>
      </c>
      <c r="I33" s="6" t="inlineStr">
        <is>
          <t>***硬质合金有限公司</t>
        </is>
      </c>
      <c r="J33" s="6" t="b">
        <v>0</v>
      </c>
      <c r="K33" s="6" t="inlineStr">
        <is>
          <t>其他</t>
        </is>
      </c>
      <c r="L33" s="6" t="n">
        <v>0.3</v>
      </c>
      <c r="M33" s="6" t="n">
        <v>1</v>
      </c>
      <c r="N33" s="6" t="n">
        <v>0.03408241972540585</v>
      </c>
      <c r="O33" s="6" t="inlineStr">
        <is>
          <t>A</t>
        </is>
      </c>
      <c r="P33" s="6" t="n">
        <v>100</v>
      </c>
      <c r="Q33" s="6" t="n">
        <v>0.0985</v>
      </c>
      <c r="R33" s="6" t="n">
        <v>0.708302023264193</v>
      </c>
      <c r="S33" s="6" t="n">
        <v>0.01449547293608305</v>
      </c>
      <c r="T33" s="6" t="inlineStr"/>
      <c r="U33" s="6" t="n">
        <v>0.291697976735807</v>
      </c>
      <c r="V33" s="6" t="n">
        <v>29.1697976735807</v>
      </c>
      <c r="W33" s="6" t="n">
        <v>9.85</v>
      </c>
      <c r="X33" s="6" t="n">
        <v>2.775298608017509</v>
      </c>
      <c r="Y33" s="6" t="n">
        <v>0.5965063725696866</v>
      </c>
      <c r="Z33" s="6" t="n">
        <v>0.7292449418395175</v>
      </c>
      <c r="AA33" s="9">
        <f>P33*(1-R33)*((1-B33)*Q33-B33*'模型说明与假设'!$B$7-'模型说明与假设'!$B$8)</f>
        <v/>
      </c>
      <c r="AB33" s="6" t="b">
        <v>0</v>
      </c>
      <c r="AC33" s="6" t="n">
        <v>0.03408241972540585</v>
      </c>
      <c r="AD33" s="6" t="inlineStr">
        <is>
          <t>A</t>
        </is>
      </c>
      <c r="AE33" s="6" t="n">
        <v>100</v>
      </c>
      <c r="AF33" s="6" t="n">
        <v>0.0985</v>
      </c>
      <c r="AG33" s="6" t="n">
        <v>0.708302023264193</v>
      </c>
      <c r="AH33" s="6" t="n">
        <v>1.449547293608305</v>
      </c>
    </row>
    <row r="34">
      <c r="A34" s="6" t="inlineStr">
        <is>
          <t>E330</t>
        </is>
      </c>
      <c r="B34" s="6" t="n">
        <v>0.04388369844758216</v>
      </c>
      <c r="C34" s="6" t="inlineStr">
        <is>
          <t>A</t>
        </is>
      </c>
      <c r="D34" s="6" t="n">
        <v>0.747227766077274</v>
      </c>
      <c r="E34" s="6" t="n">
        <v>0.07857815928327114</v>
      </c>
      <c r="F34" s="6" t="n">
        <v>0.2322873106452535</v>
      </c>
      <c r="G34" s="6" t="n">
        <v>33</v>
      </c>
      <c r="H34" s="6" t="n">
        <v>42</v>
      </c>
      <c r="I34" s="6" t="inlineStr">
        <is>
          <t>***酒店管理有限公司</t>
        </is>
      </c>
      <c r="J34" s="6" t="b">
        <v>0</v>
      </c>
      <c r="K34" s="6" t="inlineStr">
        <is>
          <t>严重负面</t>
        </is>
      </c>
      <c r="L34" s="6" t="n">
        <v>0.9</v>
      </c>
      <c r="M34" s="6" t="n">
        <v>1.3</v>
      </c>
      <c r="N34" s="6" t="n">
        <v>0.03410204275056606</v>
      </c>
      <c r="O34" s="6" t="inlineStr">
        <is>
          <t>A</t>
        </is>
      </c>
      <c r="P34" s="6" t="n">
        <v>100</v>
      </c>
      <c r="Q34" s="6" t="n">
        <v>0.1025</v>
      </c>
      <c r="R34" s="6" t="n">
        <v>0.731275401311664</v>
      </c>
      <c r="S34" s="6" t="n">
        <v>0.01254183434720979</v>
      </c>
      <c r="T34" s="6" t="inlineStr"/>
      <c r="U34" s="6" t="n">
        <v>0.268724598688336</v>
      </c>
      <c r="V34" s="6" t="n">
        <v>26.8724598688336</v>
      </c>
      <c r="W34" s="6" t="n">
        <v>10.25</v>
      </c>
      <c r="X34" s="6" t="n">
        <v>2.633552686699007</v>
      </c>
      <c r="Y34" s="6" t="n">
        <v>0.7075577552571881</v>
      </c>
      <c r="Z34" s="6" t="n">
        <v>0.67181149672084</v>
      </c>
      <c r="AA34" s="9">
        <f>P34*(1-R34)*((1-B34)*Q34-B34*'模型说明与假设'!$B$7-'模型说明与假设'!$B$8)</f>
        <v/>
      </c>
      <c r="AB34" s="6" t="b">
        <v>0</v>
      </c>
      <c r="AC34" s="6" t="n">
        <v>0.03410204275056606</v>
      </c>
      <c r="AD34" s="6" t="inlineStr">
        <is>
          <t>A</t>
        </is>
      </c>
      <c r="AE34" s="6" t="n">
        <v>100</v>
      </c>
      <c r="AF34" s="6" t="n">
        <v>0.0985</v>
      </c>
      <c r="AG34" s="6" t="n">
        <v>0.708302023264193</v>
      </c>
      <c r="AH34" s="6" t="n">
        <v>1.449147472436249</v>
      </c>
    </row>
    <row r="35">
      <c r="A35" s="6" t="inlineStr">
        <is>
          <t>E234</t>
        </is>
      </c>
      <c r="B35" s="6" t="n">
        <v>0.03941842215101067</v>
      </c>
      <c r="C35" s="6" t="inlineStr">
        <is>
          <t>A</t>
        </is>
      </c>
      <c r="D35" s="6" t="n">
        <v>0.7635188969116966</v>
      </c>
      <c r="E35" s="6" t="n">
        <v>0.07293625632917076</v>
      </c>
      <c r="F35" s="6" t="n">
        <v>0.2354869342626625</v>
      </c>
      <c r="G35" s="6" t="n">
        <v>34</v>
      </c>
      <c r="H35" s="6" t="n">
        <v>19</v>
      </c>
      <c r="I35" s="6" t="inlineStr">
        <is>
          <t>***机电设备商贸有限公司</t>
        </is>
      </c>
      <c r="J35" s="6" t="b">
        <v>0</v>
      </c>
      <c r="K35" s="6" t="inlineStr">
        <is>
          <t>中度负面</t>
        </is>
      </c>
      <c r="L35" s="6" t="n">
        <v>0.9</v>
      </c>
      <c r="M35" s="6" t="n">
        <v>1.15</v>
      </c>
      <c r="N35" s="6" t="n">
        <v>0.03445403539811302</v>
      </c>
      <c r="O35" s="6" t="inlineStr">
        <is>
          <t>A</t>
        </is>
      </c>
      <c r="P35" s="6" t="n">
        <v>100</v>
      </c>
      <c r="Q35" s="6" t="n">
        <v>0.0985</v>
      </c>
      <c r="R35" s="6" t="n">
        <v>0.708302023264193</v>
      </c>
      <c r="S35" s="6" t="n">
        <v>0.01340825690976576</v>
      </c>
      <c r="T35" s="6" t="inlineStr"/>
      <c r="U35" s="6" t="n">
        <v>0.291697976735807</v>
      </c>
      <c r="V35" s="6" t="n">
        <v>29.1697976735807</v>
      </c>
      <c r="W35" s="6" t="n">
        <v>9.85</v>
      </c>
      <c r="X35" s="6" t="n">
        <v>2.759967072070157</v>
      </c>
      <c r="Y35" s="6" t="n">
        <v>0.6898964392540639</v>
      </c>
      <c r="Z35" s="6" t="n">
        <v>0.7292449418395175</v>
      </c>
      <c r="AA35" s="9">
        <f>P35*(1-R35)*((1-B35)*Q35-B35*'模型说明与假设'!$B$7-'模型说明与假设'!$B$8)</f>
        <v/>
      </c>
      <c r="AB35" s="6" t="b">
        <v>0</v>
      </c>
      <c r="AC35" s="6" t="n">
        <v>0.03445403539811302</v>
      </c>
      <c r="AD35" s="6" t="inlineStr">
        <is>
          <t>A</t>
        </is>
      </c>
      <c r="AE35" s="6" t="n">
        <v>100</v>
      </c>
      <c r="AF35" s="6" t="n">
        <v>0.0985</v>
      </c>
      <c r="AG35" s="6" t="n">
        <v>0.708302023264193</v>
      </c>
      <c r="AH35" s="6" t="n">
        <v>1.441975585749643</v>
      </c>
    </row>
    <row r="36">
      <c r="A36" s="6" t="inlineStr">
        <is>
          <t>E142</t>
        </is>
      </c>
      <c r="B36" s="6" t="n">
        <v>0.0353189820452128</v>
      </c>
      <c r="C36" s="6" t="inlineStr">
        <is>
          <t>A</t>
        </is>
      </c>
      <c r="D36" s="6" t="n">
        <v>0.7527247804067488</v>
      </c>
      <c r="E36" s="6" t="n">
        <v>0.07541205831070014</v>
      </c>
      <c r="F36" s="6" t="n">
        <v>0.2295601036178068</v>
      </c>
      <c r="G36" s="6" t="n">
        <v>35</v>
      </c>
      <c r="H36" s="6" t="n">
        <v>29</v>
      </c>
      <c r="I36" s="6" t="inlineStr">
        <is>
          <t>***运业有限公司</t>
        </is>
      </c>
      <c r="J36" s="6" t="b">
        <v>0</v>
      </c>
      <c r="K36" s="6" t="inlineStr">
        <is>
          <t>其他</t>
        </is>
      </c>
      <c r="L36" s="6" t="n">
        <v>0.3</v>
      </c>
      <c r="M36" s="6" t="n">
        <v>1</v>
      </c>
      <c r="N36" s="6" t="n">
        <v>0.0353189820452128</v>
      </c>
      <c r="O36" s="6" t="inlineStr">
        <is>
          <t>A</t>
        </is>
      </c>
      <c r="P36" s="6" t="n">
        <v>100</v>
      </c>
      <c r="Q36" s="6" t="n">
        <v>0.0985</v>
      </c>
      <c r="R36" s="6" t="n">
        <v>0.708302023264193</v>
      </c>
      <c r="S36" s="6" t="n">
        <v>0.01424352208141644</v>
      </c>
      <c r="T36" s="6" t="inlineStr"/>
      <c r="U36" s="6" t="n">
        <v>0.291697976735807</v>
      </c>
      <c r="V36" s="6" t="n">
        <v>29.1697976735807</v>
      </c>
      <c r="W36" s="6" t="n">
        <v>9.85</v>
      </c>
      <c r="X36" s="6" t="n">
        <v>2.771745686158574</v>
      </c>
      <c r="Y36" s="6" t="n">
        <v>0.6181485361774121</v>
      </c>
      <c r="Z36" s="6" t="n">
        <v>0.7292449418395175</v>
      </c>
      <c r="AA36" s="9">
        <f>P36*(1-R36)*((1-B36)*Q36-B36*'模型说明与假设'!$B$7-'模型说明与假设'!$B$8)</f>
        <v/>
      </c>
      <c r="AB36" s="6" t="b">
        <v>0</v>
      </c>
      <c r="AC36" s="6" t="n">
        <v>0.0353189820452128</v>
      </c>
      <c r="AD36" s="6" t="inlineStr">
        <is>
          <t>A</t>
        </is>
      </c>
      <c r="AE36" s="6" t="n">
        <v>100</v>
      </c>
      <c r="AF36" s="6" t="n">
        <v>0.0985</v>
      </c>
      <c r="AG36" s="6" t="n">
        <v>0.708302023264193</v>
      </c>
      <c r="AH36" s="6" t="n">
        <v>1.424352208141645</v>
      </c>
    </row>
    <row r="37">
      <c r="A37" s="6" t="inlineStr">
        <is>
          <t>E289</t>
        </is>
      </c>
      <c r="B37" s="6" t="n">
        <v>0.03594094962091012</v>
      </c>
      <c r="C37" s="6" t="inlineStr">
        <is>
          <t>A</t>
        </is>
      </c>
      <c r="D37" s="6" t="n">
        <v>0.7347913966763318</v>
      </c>
      <c r="E37" s="6" t="n">
        <v>0.08329581832464772</v>
      </c>
      <c r="F37" s="6" t="n">
        <v>0.2307807888470702</v>
      </c>
      <c r="G37" s="6" t="n">
        <v>36</v>
      </c>
      <c r="H37" s="6" t="n">
        <v>59</v>
      </c>
      <c r="I37" s="6" t="inlineStr">
        <is>
          <t>***运业有限公司***分公司</t>
        </is>
      </c>
      <c r="J37" s="6" t="b">
        <v>0</v>
      </c>
      <c r="K37" s="6" t="inlineStr">
        <is>
          <t>其他</t>
        </is>
      </c>
      <c r="L37" s="6" t="n">
        <v>0.3</v>
      </c>
      <c r="M37" s="6" t="n">
        <v>1</v>
      </c>
      <c r="N37" s="6" t="n">
        <v>0.03594094962091012</v>
      </c>
      <c r="O37" s="6" t="inlineStr">
        <is>
          <t>A</t>
        </is>
      </c>
      <c r="P37" s="6" t="n">
        <v>100</v>
      </c>
      <c r="Q37" s="6" t="n">
        <v>0.0985</v>
      </c>
      <c r="R37" s="6" t="n">
        <v>0.708302023264193</v>
      </c>
      <c r="S37" s="6" t="n">
        <v>0.01411679554304325</v>
      </c>
      <c r="T37" s="6" t="inlineStr"/>
      <c r="U37" s="6" t="n">
        <v>0.291697976735807</v>
      </c>
      <c r="V37" s="6" t="n">
        <v>29.1697976735807</v>
      </c>
      <c r="W37" s="6" t="n">
        <v>9.85</v>
      </c>
      <c r="X37" s="6" t="n">
        <v>2.769958633326826</v>
      </c>
      <c r="Y37" s="6" t="n">
        <v>0.6290341371829831</v>
      </c>
      <c r="Z37" s="6" t="n">
        <v>0.7292449418395175</v>
      </c>
      <c r="AA37" s="9">
        <f>P37*(1-R37)*((1-B37)*Q37-B37*'模型说明与假设'!$B$7-'模型说明与假设'!$B$8)</f>
        <v/>
      </c>
      <c r="AB37" s="6" t="b">
        <v>0</v>
      </c>
      <c r="AC37" s="6" t="n">
        <v>0.03594094962091012</v>
      </c>
      <c r="AD37" s="6" t="inlineStr">
        <is>
          <t>A</t>
        </is>
      </c>
      <c r="AE37" s="6" t="n">
        <v>100</v>
      </c>
      <c r="AF37" s="6" t="n">
        <v>0.0985</v>
      </c>
      <c r="AG37" s="6" t="n">
        <v>0.708302023264193</v>
      </c>
      <c r="AH37" s="6" t="n">
        <v>1.411679554304325</v>
      </c>
    </row>
    <row r="38">
      <c r="A38" s="6" t="inlineStr">
        <is>
          <t>E155</t>
        </is>
      </c>
      <c r="B38" s="6" t="n">
        <v>0.03688032966167074</v>
      </c>
      <c r="C38" s="6" t="inlineStr">
        <is>
          <t>A</t>
        </is>
      </c>
      <c r="D38" s="6" t="n">
        <v>0.7338470145175991</v>
      </c>
      <c r="E38" s="6" t="n">
        <v>0.08104744902106607</v>
      </c>
      <c r="F38" s="6" t="n">
        <v>0.2234670724830531</v>
      </c>
      <c r="G38" s="6" t="n">
        <v>37</v>
      </c>
      <c r="H38" s="6" t="n">
        <v>62</v>
      </c>
      <c r="I38" s="6" t="inlineStr">
        <is>
          <t xml:space="preserve">个体经营E155 </t>
        </is>
      </c>
      <c r="J38" s="6" t="b">
        <v>0</v>
      </c>
      <c r="K38" s="6" t="inlineStr">
        <is>
          <t>未知</t>
        </is>
      </c>
      <c r="L38" s="6" t="n">
        <v>0</v>
      </c>
      <c r="M38" s="6" t="n">
        <v>1</v>
      </c>
      <c r="N38" s="6" t="n">
        <v>0.03688032966167074</v>
      </c>
      <c r="O38" s="6" t="inlineStr">
        <is>
          <t>A</t>
        </is>
      </c>
      <c r="P38" s="6" t="n">
        <v>100</v>
      </c>
      <c r="Q38" s="6" t="n">
        <v>0.0985</v>
      </c>
      <c r="R38" s="6" t="n">
        <v>0.708302023264193</v>
      </c>
      <c r="S38" s="6" t="n">
        <v>0.01392539588583605</v>
      </c>
      <c r="T38" s="6" t="inlineStr"/>
      <c r="U38" s="6" t="n">
        <v>0.291697976735807</v>
      </c>
      <c r="V38" s="6" t="n">
        <v>29.1697976735807</v>
      </c>
      <c r="W38" s="6" t="n">
        <v>9.85</v>
      </c>
      <c r="X38" s="6" t="n">
        <v>2.767259583042658</v>
      </c>
      <c r="Y38" s="6" t="n">
        <v>0.6454750526195355</v>
      </c>
      <c r="Z38" s="6" t="n">
        <v>0.7292449418395175</v>
      </c>
      <c r="AA38" s="9">
        <f>P38*(1-R38)*((1-B38)*Q38-B38*'模型说明与假设'!$B$7-'模型说明与假设'!$B$8)</f>
        <v/>
      </c>
      <c r="AB38" s="6" t="b">
        <v>0</v>
      </c>
      <c r="AC38" s="6" t="n">
        <v>0.03688032966167074</v>
      </c>
      <c r="AD38" s="6" t="inlineStr">
        <is>
          <t>A</t>
        </is>
      </c>
      <c r="AE38" s="6" t="n">
        <v>100</v>
      </c>
      <c r="AF38" s="6" t="n">
        <v>0.0985</v>
      </c>
      <c r="AG38" s="6" t="n">
        <v>0.708302023264193</v>
      </c>
      <c r="AH38" s="6" t="n">
        <v>1.392539588583606</v>
      </c>
    </row>
    <row r="39">
      <c r="A39" s="6" t="inlineStr">
        <is>
          <t>E246</t>
        </is>
      </c>
      <c r="B39" s="6" t="n">
        <v>0.03713924790737611</v>
      </c>
      <c r="C39" s="6" t="inlineStr">
        <is>
          <t>A</t>
        </is>
      </c>
      <c r="D39" s="6" t="n">
        <v>0.750497429714353</v>
      </c>
      <c r="E39" s="6" t="n">
        <v>0.07677949512860165</v>
      </c>
      <c r="F39" s="6" t="n">
        <v>0.230950782121446</v>
      </c>
      <c r="G39" s="6" t="n">
        <v>38</v>
      </c>
      <c r="H39" s="6" t="n">
        <v>33</v>
      </c>
      <c r="I39" s="6" t="inlineStr">
        <is>
          <t>***物业服务有限公司</t>
        </is>
      </c>
      <c r="J39" s="6" t="b">
        <v>0</v>
      </c>
      <c r="K39" s="6" t="inlineStr">
        <is>
          <t>其他</t>
        </is>
      </c>
      <c r="L39" s="6" t="n">
        <v>0.3</v>
      </c>
      <c r="M39" s="6" t="n">
        <v>1</v>
      </c>
      <c r="N39" s="6" t="n">
        <v>0.03713924790737611</v>
      </c>
      <c r="O39" s="6" t="inlineStr">
        <is>
          <t>A</t>
        </is>
      </c>
      <c r="P39" s="6" t="n">
        <v>100</v>
      </c>
      <c r="Q39" s="6" t="n">
        <v>0.0985</v>
      </c>
      <c r="R39" s="6" t="n">
        <v>0.708302023264193</v>
      </c>
      <c r="S39" s="6" t="n">
        <v>0.0138726410248401</v>
      </c>
      <c r="T39" s="6" t="inlineStr"/>
      <c r="U39" s="6" t="n">
        <v>0.291697976735807</v>
      </c>
      <c r="V39" s="6" t="n">
        <v>29.1697976735807</v>
      </c>
      <c r="W39" s="6" t="n">
        <v>9.85</v>
      </c>
      <c r="X39" s="6" t="n">
        <v>2.766515652647798</v>
      </c>
      <c r="Y39" s="6" t="n">
        <v>0.6500066083242698</v>
      </c>
      <c r="Z39" s="6" t="n">
        <v>0.7292449418395175</v>
      </c>
      <c r="AA39" s="9">
        <f>P39*(1-R39)*((1-B39)*Q39-B39*'模型说明与假设'!$B$7-'模型说明与假设'!$B$8)</f>
        <v/>
      </c>
      <c r="AB39" s="6" t="b">
        <v>0</v>
      </c>
      <c r="AC39" s="6" t="n">
        <v>0.03713924790737611</v>
      </c>
      <c r="AD39" s="6" t="inlineStr">
        <is>
          <t>A</t>
        </is>
      </c>
      <c r="AE39" s="6" t="n">
        <v>100</v>
      </c>
      <c r="AF39" s="6" t="n">
        <v>0.0985</v>
      </c>
      <c r="AG39" s="6" t="n">
        <v>0.708302023264193</v>
      </c>
      <c r="AH39" s="6" t="n">
        <v>1.387264102484011</v>
      </c>
    </row>
    <row r="40">
      <c r="A40" s="6" t="inlineStr">
        <is>
          <t>E220</t>
        </is>
      </c>
      <c r="B40" s="6" t="n">
        <v>0.03716901448658626</v>
      </c>
      <c r="C40" s="6" t="inlineStr">
        <is>
          <t>A</t>
        </is>
      </c>
      <c r="D40" s="6" t="n">
        <v>0.7627163974045446</v>
      </c>
      <c r="E40" s="6" t="n">
        <v>0.07255849190401846</v>
      </c>
      <c r="F40" s="6" t="n">
        <v>0.2332295655527934</v>
      </c>
      <c r="G40" s="6" t="n">
        <v>39</v>
      </c>
      <c r="H40" s="6" t="n">
        <v>20</v>
      </c>
      <c r="I40" s="6" t="inlineStr">
        <is>
          <t>***文化传播有限公司</t>
        </is>
      </c>
      <c r="J40" s="6" t="b">
        <v>0</v>
      </c>
      <c r="K40" s="6" t="inlineStr">
        <is>
          <t>其他</t>
        </is>
      </c>
      <c r="L40" s="6" t="n">
        <v>0.3</v>
      </c>
      <c r="M40" s="6" t="n">
        <v>1</v>
      </c>
      <c r="N40" s="6" t="n">
        <v>0.03716901448658626</v>
      </c>
      <c r="O40" s="6" t="inlineStr">
        <is>
          <t>A</t>
        </is>
      </c>
      <c r="P40" s="6" t="n">
        <v>100</v>
      </c>
      <c r="Q40" s="6" t="n">
        <v>0.0985</v>
      </c>
      <c r="R40" s="6" t="n">
        <v>0.708302023264193</v>
      </c>
      <c r="S40" s="6" t="n">
        <v>0.01386657605346554</v>
      </c>
      <c r="T40" s="6" t="inlineStr"/>
      <c r="U40" s="6" t="n">
        <v>0.291697976735807</v>
      </c>
      <c r="V40" s="6" t="n">
        <v>29.1697976735807</v>
      </c>
      <c r="W40" s="6" t="n">
        <v>9.85</v>
      </c>
      <c r="X40" s="6" t="n">
        <v>2.766430126566138</v>
      </c>
      <c r="Y40" s="6" t="n">
        <v>0.6505275793800667</v>
      </c>
      <c r="Z40" s="6" t="n">
        <v>0.7292449418395175</v>
      </c>
      <c r="AA40" s="9">
        <f>P40*(1-R40)*((1-B40)*Q40-B40*'模型说明与假设'!$B$7-'模型说明与假设'!$B$8)</f>
        <v/>
      </c>
      <c r="AB40" s="6" t="b">
        <v>0</v>
      </c>
      <c r="AC40" s="6" t="n">
        <v>0.03716901448658626</v>
      </c>
      <c r="AD40" s="6" t="inlineStr">
        <is>
          <t>A</t>
        </is>
      </c>
      <c r="AE40" s="6" t="n">
        <v>100</v>
      </c>
      <c r="AF40" s="6" t="n">
        <v>0.0985</v>
      </c>
      <c r="AG40" s="6" t="n">
        <v>0.708302023264193</v>
      </c>
      <c r="AH40" s="6" t="n">
        <v>1.386657605346554</v>
      </c>
    </row>
    <row r="41">
      <c r="A41" s="6" t="inlineStr">
        <is>
          <t>E144</t>
        </is>
      </c>
      <c r="B41" s="6" t="n">
        <v>0.03782298780240304</v>
      </c>
      <c r="C41" s="6" t="inlineStr">
        <is>
          <t>A</t>
        </is>
      </c>
      <c r="D41" s="6" t="n">
        <v>0.7748562199316555</v>
      </c>
      <c r="E41" s="6" t="n">
        <v>0.06869556707216259</v>
      </c>
      <c r="F41" s="6" t="n">
        <v>0.2364230866668366</v>
      </c>
      <c r="G41" s="6" t="n">
        <v>40</v>
      </c>
      <c r="H41" s="6" t="n">
        <v>15</v>
      </c>
      <c r="I41" s="6" t="inlineStr">
        <is>
          <t>***劳务有限公司</t>
        </is>
      </c>
      <c r="J41" s="6" t="b">
        <v>0</v>
      </c>
      <c r="K41" s="6" t="inlineStr">
        <is>
          <t>其他</t>
        </is>
      </c>
      <c r="L41" s="6" t="n">
        <v>0.3</v>
      </c>
      <c r="M41" s="6" t="n">
        <v>1</v>
      </c>
      <c r="N41" s="6" t="n">
        <v>0.03782298780240304</v>
      </c>
      <c r="O41" s="6" t="inlineStr">
        <is>
          <t>A</t>
        </is>
      </c>
      <c r="P41" s="6" t="n">
        <v>100</v>
      </c>
      <c r="Q41" s="6" t="n">
        <v>0.0985</v>
      </c>
      <c r="R41" s="6" t="n">
        <v>0.708302023264193</v>
      </c>
      <c r="S41" s="6" t="n">
        <v>0.01373332831236106</v>
      </c>
      <c r="T41" s="6" t="inlineStr"/>
      <c r="U41" s="6" t="n">
        <v>0.291697976735807</v>
      </c>
      <c r="V41" s="6" t="n">
        <v>29.1697976735807</v>
      </c>
      <c r="W41" s="6" t="n">
        <v>9.85</v>
      </c>
      <c r="X41" s="6" t="n">
        <v>2.764551114039468</v>
      </c>
      <c r="Y41" s="6" t="n">
        <v>0.6619733409638443</v>
      </c>
      <c r="Z41" s="6" t="n">
        <v>0.7292449418395175</v>
      </c>
      <c r="AA41" s="9">
        <f>P41*(1-R41)*((1-B41)*Q41-B41*'模型说明与假设'!$B$7-'模型说明与假设'!$B$8)</f>
        <v/>
      </c>
      <c r="AB41" s="6" t="b">
        <v>0</v>
      </c>
      <c r="AC41" s="6" t="n">
        <v>0.03782298780240304</v>
      </c>
      <c r="AD41" s="6" t="inlineStr">
        <is>
          <t>A</t>
        </is>
      </c>
      <c r="AE41" s="6" t="n">
        <v>100</v>
      </c>
      <c r="AF41" s="6" t="n">
        <v>0.0985</v>
      </c>
      <c r="AG41" s="6" t="n">
        <v>0.708302023264193</v>
      </c>
      <c r="AH41" s="6" t="n">
        <v>1.373332831236106</v>
      </c>
    </row>
    <row r="42">
      <c r="A42" s="6" t="inlineStr">
        <is>
          <t>E135</t>
        </is>
      </c>
      <c r="B42" s="6" t="n">
        <v>0.04345096539601187</v>
      </c>
      <c r="C42" s="6" t="inlineStr">
        <is>
          <t>A</t>
        </is>
      </c>
      <c r="D42" s="6" t="n">
        <v>0.7601382592139747</v>
      </c>
      <c r="E42" s="6" t="n">
        <v>0.07350971587560812</v>
      </c>
      <c r="F42" s="6" t="n">
        <v>0.232957316485273</v>
      </c>
      <c r="G42" s="6" t="n">
        <v>41</v>
      </c>
      <c r="H42" s="6" t="n">
        <v>23</v>
      </c>
      <c r="I42" s="6" t="inlineStr">
        <is>
          <t>***建设工程有限公司</t>
        </is>
      </c>
      <c r="J42" s="6" t="b">
        <v>0</v>
      </c>
      <c r="K42" s="6" t="inlineStr">
        <is>
          <t>中度负面</t>
        </is>
      </c>
      <c r="L42" s="6" t="n">
        <v>0.9</v>
      </c>
      <c r="M42" s="6" t="n">
        <v>1.15</v>
      </c>
      <c r="N42" s="6" t="n">
        <v>0.0379988070640315</v>
      </c>
      <c r="O42" s="6" t="inlineStr">
        <is>
          <t>A</t>
        </is>
      </c>
      <c r="P42" s="6" t="n">
        <v>100</v>
      </c>
      <c r="Q42" s="6" t="n">
        <v>0.1025</v>
      </c>
      <c r="R42" s="6" t="n">
        <v>0.731275401311664</v>
      </c>
      <c r="S42" s="6" t="n">
        <v>0.01262352527318453</v>
      </c>
      <c r="T42" s="6" t="inlineStr"/>
      <c r="U42" s="6" t="n">
        <v>0.268724598688336</v>
      </c>
      <c r="V42" s="6" t="n">
        <v>26.8724598688336</v>
      </c>
      <c r="W42" s="6" t="n">
        <v>10.25</v>
      </c>
      <c r="X42" s="6" t="n">
        <v>2.634744618359137</v>
      </c>
      <c r="Y42" s="6" t="n">
        <v>0.7005805943198439</v>
      </c>
      <c r="Z42" s="6" t="n">
        <v>0.67181149672084</v>
      </c>
      <c r="AA42" s="9">
        <f>P42*(1-R42)*((1-B42)*Q42-B42*'模型说明与假设'!$B$7-'模型说明与假设'!$B$8)</f>
        <v/>
      </c>
      <c r="AB42" s="6" t="b">
        <v>0</v>
      </c>
      <c r="AC42" s="6" t="n">
        <v>0.0379988070640315</v>
      </c>
      <c r="AD42" s="6" t="inlineStr">
        <is>
          <t>A</t>
        </is>
      </c>
      <c r="AE42" s="6" t="n">
        <v>100</v>
      </c>
      <c r="AF42" s="6" t="n">
        <v>0.0985</v>
      </c>
      <c r="AG42" s="6" t="n">
        <v>0.708302023264193</v>
      </c>
      <c r="AH42" s="6" t="n">
        <v>1.369750495552365</v>
      </c>
    </row>
    <row r="43">
      <c r="A43" s="6" t="inlineStr">
        <is>
          <t>E221</t>
        </is>
      </c>
      <c r="B43" s="6" t="n">
        <v>0.03869381256671445</v>
      </c>
      <c r="C43" s="6" t="inlineStr">
        <is>
          <t>A</t>
        </is>
      </c>
      <c r="D43" s="6" t="n">
        <v>0.7513072105653722</v>
      </c>
      <c r="E43" s="6" t="n">
        <v>0.07572359908295184</v>
      </c>
      <c r="F43" s="6" t="n">
        <v>0.2287629091712684</v>
      </c>
      <c r="G43" s="6" t="n">
        <v>42</v>
      </c>
      <c r="H43" s="6" t="n">
        <v>31</v>
      </c>
      <c r="I43" s="6" t="inlineStr">
        <is>
          <t>***测绘服务有限公司</t>
        </is>
      </c>
      <c r="J43" s="6" t="b">
        <v>0</v>
      </c>
      <c r="K43" s="6" t="inlineStr">
        <is>
          <t>其他</t>
        </is>
      </c>
      <c r="L43" s="6" t="n">
        <v>0.3</v>
      </c>
      <c r="M43" s="6" t="n">
        <v>1</v>
      </c>
      <c r="N43" s="6" t="n">
        <v>0.03869381256671444</v>
      </c>
      <c r="O43" s="6" t="inlineStr">
        <is>
          <t>A</t>
        </is>
      </c>
      <c r="P43" s="6" t="n">
        <v>100</v>
      </c>
      <c r="Q43" s="6" t="n">
        <v>0.0985</v>
      </c>
      <c r="R43" s="6" t="n">
        <v>0.708302023264193</v>
      </c>
      <c r="S43" s="6" t="n">
        <v>0.01355589686380507</v>
      </c>
      <c r="T43" s="6" t="inlineStr"/>
      <c r="U43" s="6" t="n">
        <v>0.291697976735807</v>
      </c>
      <c r="V43" s="6" t="n">
        <v>29.1697976735807</v>
      </c>
      <c r="W43" s="6" t="n">
        <v>9.85</v>
      </c>
      <c r="X43" s="6" t="n">
        <v>2.762049038494333</v>
      </c>
      <c r="Y43" s="6" t="n">
        <v>0.6772144102743087</v>
      </c>
      <c r="Z43" s="6" t="n">
        <v>0.7292449418395175</v>
      </c>
      <c r="AA43" s="9">
        <f>P43*(1-R43)*((1-B43)*Q43-B43*'模型说明与假设'!$B$7-'模型说明与假设'!$B$8)</f>
        <v/>
      </c>
      <c r="AB43" s="6" t="b">
        <v>0</v>
      </c>
      <c r="AC43" s="6" t="n">
        <v>0.03869381256671444</v>
      </c>
      <c r="AD43" s="6" t="inlineStr">
        <is>
          <t>A</t>
        </is>
      </c>
      <c r="AE43" s="6" t="n">
        <v>100</v>
      </c>
      <c r="AF43" s="6" t="n">
        <v>0.0985</v>
      </c>
      <c r="AG43" s="6" t="n">
        <v>0.708302023264193</v>
      </c>
      <c r="AH43" s="6" t="n">
        <v>1.355589686380507</v>
      </c>
    </row>
    <row r="44">
      <c r="A44" s="6" t="inlineStr">
        <is>
          <t>E211</t>
        </is>
      </c>
      <c r="B44" s="6" t="n">
        <v>0.03899545819589739</v>
      </c>
      <c r="C44" s="6" t="inlineStr">
        <is>
          <t>A</t>
        </is>
      </c>
      <c r="D44" s="6" t="n">
        <v>0.738914209146677</v>
      </c>
      <c r="E44" s="6" t="n">
        <v>0.07961256222906671</v>
      </c>
      <c r="F44" s="6" t="n">
        <v>0.2253161815714443</v>
      </c>
      <c r="G44" s="6" t="n">
        <v>43</v>
      </c>
      <c r="H44" s="6" t="n">
        <v>53</v>
      </c>
      <c r="I44" s="6" t="inlineStr">
        <is>
          <t xml:space="preserve">个体经营E211 </t>
        </is>
      </c>
      <c r="J44" s="6" t="b">
        <v>0</v>
      </c>
      <c r="K44" s="6" t="inlineStr">
        <is>
          <t>未知</t>
        </is>
      </c>
      <c r="L44" s="6" t="n">
        <v>0</v>
      </c>
      <c r="M44" s="6" t="n">
        <v>1</v>
      </c>
      <c r="N44" s="6" t="n">
        <v>0.03899545819589739</v>
      </c>
      <c r="O44" s="6" t="inlineStr">
        <is>
          <t>A</t>
        </is>
      </c>
      <c r="P44" s="6" t="n">
        <v>100</v>
      </c>
      <c r="Q44" s="6" t="n">
        <v>0.0985</v>
      </c>
      <c r="R44" s="6" t="n">
        <v>0.708302023264193</v>
      </c>
      <c r="S44" s="6" t="n">
        <v>0.01349443625412795</v>
      </c>
      <c r="T44" s="6" t="inlineStr"/>
      <c r="U44" s="6" t="n">
        <v>0.291697976735807</v>
      </c>
      <c r="V44" s="6" t="n">
        <v>29.1697976735807</v>
      </c>
      <c r="W44" s="6" t="n">
        <v>9.85</v>
      </c>
      <c r="X44" s="6" t="n">
        <v>2.761182342710053</v>
      </c>
      <c r="Y44" s="6" t="n">
        <v>0.6824937754577406</v>
      </c>
      <c r="Z44" s="6" t="n">
        <v>0.7292449418395175</v>
      </c>
      <c r="AA44" s="9">
        <f>P44*(1-R44)*((1-B44)*Q44-B44*'模型说明与假设'!$B$7-'模型说明与假设'!$B$8)</f>
        <v/>
      </c>
      <c r="AB44" s="6" t="b">
        <v>0</v>
      </c>
      <c r="AC44" s="6" t="n">
        <v>0.03899545819589739</v>
      </c>
      <c r="AD44" s="6" t="inlineStr">
        <is>
          <t>A</t>
        </is>
      </c>
      <c r="AE44" s="6" t="n">
        <v>100</v>
      </c>
      <c r="AF44" s="6" t="n">
        <v>0.0985</v>
      </c>
      <c r="AG44" s="6" t="n">
        <v>0.708302023264193</v>
      </c>
      <c r="AH44" s="6" t="n">
        <v>1.349443625412795</v>
      </c>
    </row>
    <row r="45">
      <c r="A45" s="6" t="inlineStr">
        <is>
          <t>E258</t>
        </is>
      </c>
      <c r="B45" s="6" t="n">
        <v>0.04502669661048578</v>
      </c>
      <c r="C45" s="6" t="inlineStr">
        <is>
          <t>A</t>
        </is>
      </c>
      <c r="D45" s="6" t="n">
        <v>0.7174656122041903</v>
      </c>
      <c r="E45" s="6" t="n">
        <v>0.09094536339495374</v>
      </c>
      <c r="F45" s="6" t="n">
        <v>0.2309459437286266</v>
      </c>
      <c r="G45" s="6" t="n">
        <v>44</v>
      </c>
      <c r="H45" s="6" t="n">
        <v>86</v>
      </c>
      <c r="I45" s="6" t="inlineStr">
        <is>
          <t>***国际货运有限公司</t>
        </is>
      </c>
      <c r="J45" s="6" t="b">
        <v>0</v>
      </c>
      <c r="K45" s="6" t="inlineStr">
        <is>
          <t>中度负面</t>
        </is>
      </c>
      <c r="L45" s="6" t="n">
        <v>0.9</v>
      </c>
      <c r="M45" s="6" t="n">
        <v>1.15</v>
      </c>
      <c r="N45" s="6" t="n">
        <v>0.03938495895667792</v>
      </c>
      <c r="O45" s="6" t="inlineStr">
        <is>
          <t>A</t>
        </is>
      </c>
      <c r="P45" s="6" t="n">
        <v>100</v>
      </c>
      <c r="Q45" s="6" t="n">
        <v>0.1025</v>
      </c>
      <c r="R45" s="6" t="n">
        <v>0.731275401311664</v>
      </c>
      <c r="S45" s="6" t="n">
        <v>0.01232606026206378</v>
      </c>
      <c r="T45" s="6" t="inlineStr"/>
      <c r="U45" s="6" t="n">
        <v>0.268724598688336</v>
      </c>
      <c r="V45" s="6" t="n">
        <v>26.8724598688336</v>
      </c>
      <c r="W45" s="6" t="n">
        <v>10.25</v>
      </c>
      <c r="X45" s="6" t="n">
        <v>2.630404381542073</v>
      </c>
      <c r="Y45" s="6" t="n">
        <v>0.7259868586148549</v>
      </c>
      <c r="Z45" s="6" t="n">
        <v>0.67181149672084</v>
      </c>
      <c r="AA45" s="9">
        <f>P45*(1-R45)*((1-B45)*Q45-B45*'模型说明与假设'!$B$7-'模型说明与假设'!$B$8)</f>
        <v/>
      </c>
      <c r="AB45" s="6" t="b">
        <v>0</v>
      </c>
      <c r="AC45" s="6" t="n">
        <v>0.03938495895667792</v>
      </c>
      <c r="AD45" s="6" t="inlineStr">
        <is>
          <t>A</t>
        </is>
      </c>
      <c r="AE45" s="6" t="n">
        <v>100</v>
      </c>
      <c r="AF45" s="6" t="n">
        <v>0.0985</v>
      </c>
      <c r="AG45" s="6" t="n">
        <v>0.708302023264193</v>
      </c>
      <c r="AH45" s="6" t="n">
        <v>1.341507507030402</v>
      </c>
    </row>
    <row r="46">
      <c r="A46" s="6" t="inlineStr">
        <is>
          <t>E181</t>
        </is>
      </c>
      <c r="B46" s="6" t="n">
        <v>0.03949984998892208</v>
      </c>
      <c r="C46" s="6" t="inlineStr">
        <is>
          <t>A</t>
        </is>
      </c>
      <c r="D46" s="6" t="n">
        <v>0.5891608438525887</v>
      </c>
      <c r="E46" s="6" t="n">
        <v>0.1402431703525738</v>
      </c>
      <c r="F46" s="6" t="n">
        <v>0.2011146779783527</v>
      </c>
      <c r="G46" s="6" t="n">
        <v>45</v>
      </c>
      <c r="H46" s="6" t="n">
        <v>233</v>
      </c>
      <c r="I46" s="6" t="inlineStr">
        <is>
          <t>***食品有限公司</t>
        </is>
      </c>
      <c r="J46" s="6" t="b">
        <v>0</v>
      </c>
      <c r="K46" s="6" t="inlineStr">
        <is>
          <t>其他</t>
        </is>
      </c>
      <c r="L46" s="6" t="n">
        <v>0.3</v>
      </c>
      <c r="M46" s="6" t="n">
        <v>1</v>
      </c>
      <c r="N46" s="6" t="n">
        <v>0.03949984998892209</v>
      </c>
      <c r="O46" s="6" t="inlineStr">
        <is>
          <t>A</t>
        </is>
      </c>
      <c r="P46" s="6" t="n">
        <v>100</v>
      </c>
      <c r="Q46" s="6" t="n">
        <v>0.0985</v>
      </c>
      <c r="R46" s="6" t="n">
        <v>0.708302023264193</v>
      </c>
      <c r="S46" s="6" t="n">
        <v>0.013391665903371</v>
      </c>
      <c r="T46" s="6" t="inlineStr"/>
      <c r="U46" s="6" t="n">
        <v>0.291697976735807</v>
      </c>
      <c r="V46" s="6" t="n">
        <v>29.1697976735807</v>
      </c>
      <c r="W46" s="6" t="n">
        <v>9.85</v>
      </c>
      <c r="X46" s="6" t="n">
        <v>2.759733111564805</v>
      </c>
      <c r="Y46" s="6" t="n">
        <v>0.6913215793881875</v>
      </c>
      <c r="Z46" s="6" t="n">
        <v>0.7292449418395175</v>
      </c>
      <c r="AA46" s="9">
        <f>P46*(1-R46)*((1-B46)*Q46-B46*'模型说明与假设'!$B$7-'模型说明与假设'!$B$8)</f>
        <v/>
      </c>
      <c r="AB46" s="6" t="b">
        <v>0</v>
      </c>
      <c r="AC46" s="6" t="n">
        <v>0.03949984998892209</v>
      </c>
      <c r="AD46" s="6" t="inlineStr">
        <is>
          <t>A</t>
        </is>
      </c>
      <c r="AE46" s="6" t="n">
        <v>100</v>
      </c>
      <c r="AF46" s="6" t="n">
        <v>0.0985</v>
      </c>
      <c r="AG46" s="6" t="n">
        <v>0.708302023264193</v>
      </c>
      <c r="AH46" s="6" t="n">
        <v>1.3391665903371</v>
      </c>
    </row>
    <row r="47">
      <c r="A47" s="6" t="inlineStr">
        <is>
          <t>E154</t>
        </is>
      </c>
      <c r="B47" s="6" t="n">
        <v>0.04524784095059491</v>
      </c>
      <c r="C47" s="6" t="inlineStr">
        <is>
          <t>A</t>
        </is>
      </c>
      <c r="D47" s="6" t="n">
        <v>0.5771149771674843</v>
      </c>
      <c r="E47" s="6" t="n">
        <v>0.1439546327961655</v>
      </c>
      <c r="F47" s="6" t="n">
        <v>0.1964561763451622</v>
      </c>
      <c r="G47" s="6" t="n">
        <v>46</v>
      </c>
      <c r="H47" s="6" t="n">
        <v>243</v>
      </c>
      <c r="I47" s="6" t="inlineStr">
        <is>
          <t>***汽车销售服务有限公司</t>
        </is>
      </c>
      <c r="J47" s="6" t="b">
        <v>0</v>
      </c>
      <c r="K47" s="6" t="inlineStr">
        <is>
          <t>中度负面</t>
        </is>
      </c>
      <c r="L47" s="6" t="n">
        <v>0.9</v>
      </c>
      <c r="M47" s="6" t="n">
        <v>1.15</v>
      </c>
      <c r="N47" s="6" t="n">
        <v>0.03957954285180283</v>
      </c>
      <c r="O47" s="6" t="inlineStr">
        <is>
          <t>A</t>
        </is>
      </c>
      <c r="P47" s="6" t="n">
        <v>100</v>
      </c>
      <c r="Q47" s="6" t="n">
        <v>0.1025</v>
      </c>
      <c r="R47" s="6" t="n">
        <v>0.731275401311664</v>
      </c>
      <c r="S47" s="6" t="n">
        <v>0.01228431284792004</v>
      </c>
      <c r="T47" s="6" t="inlineStr"/>
      <c r="U47" s="6" t="n">
        <v>0.268724598688336</v>
      </c>
      <c r="V47" s="6" t="n">
        <v>26.8724598688336</v>
      </c>
      <c r="W47" s="6" t="n">
        <v>10.25</v>
      </c>
      <c r="X47" s="6" t="n">
        <v>2.62979525557058</v>
      </c>
      <c r="Y47" s="6" t="n">
        <v>0.7295524740577363</v>
      </c>
      <c r="Z47" s="6" t="n">
        <v>0.67181149672084</v>
      </c>
      <c r="AA47" s="9">
        <f>P47*(1-R47)*((1-B47)*Q47-B47*'模型说明与假设'!$B$7-'模型说明与假设'!$B$8)</f>
        <v/>
      </c>
      <c r="AB47" s="6" t="b">
        <v>0</v>
      </c>
      <c r="AC47" s="6" t="n">
        <v>0.03957954285180283</v>
      </c>
      <c r="AD47" s="6" t="inlineStr">
        <is>
          <t>A</t>
        </is>
      </c>
      <c r="AE47" s="6" t="n">
        <v>100</v>
      </c>
      <c r="AF47" s="6" t="n">
        <v>0.0985</v>
      </c>
      <c r="AG47" s="6" t="n">
        <v>0.708302023264193</v>
      </c>
      <c r="AH47" s="6" t="n">
        <v>1.337542839993747</v>
      </c>
    </row>
    <row r="48">
      <c r="A48" s="6" t="inlineStr">
        <is>
          <t>E204</t>
        </is>
      </c>
      <c r="B48" s="6" t="n">
        <v>0.03591442279610662</v>
      </c>
      <c r="C48" s="6" t="inlineStr">
        <is>
          <t>A</t>
        </is>
      </c>
      <c r="D48" s="6" t="n">
        <v>0.7595253145871296</v>
      </c>
      <c r="E48" s="6" t="n">
        <v>0.07340335543787065</v>
      </c>
      <c r="F48" s="6" t="n">
        <v>0.2318402310620746</v>
      </c>
      <c r="G48" s="6" t="n">
        <v>47</v>
      </c>
      <c r="H48" s="6" t="n">
        <v>24</v>
      </c>
      <c r="I48" s="6" t="inlineStr">
        <is>
          <t>***科技发展有限公司</t>
        </is>
      </c>
      <c r="J48" s="6" t="b">
        <v>0</v>
      </c>
      <c r="K48" s="6" t="inlineStr">
        <is>
          <t>正面/轻影响</t>
        </is>
      </c>
      <c r="L48" s="6" t="n">
        <v>0.9</v>
      </c>
      <c r="M48" s="6" t="n">
        <v>0.9</v>
      </c>
      <c r="N48" s="6" t="n">
        <v>0.03974630692107985</v>
      </c>
      <c r="O48" s="6" t="inlineStr">
        <is>
          <t>A</t>
        </is>
      </c>
      <c r="P48" s="6" t="n">
        <v>100</v>
      </c>
      <c r="Q48" s="6" t="n">
        <v>0.0985</v>
      </c>
      <c r="R48" s="6" t="n">
        <v>0.708302023264193</v>
      </c>
      <c r="S48" s="6" t="n">
        <v>0.01412220041109865</v>
      </c>
      <c r="T48" s="6" t="inlineStr"/>
      <c r="U48" s="6" t="n">
        <v>0.291697976735807</v>
      </c>
      <c r="V48" s="6" t="n">
        <v>29.1697976735807</v>
      </c>
      <c r="W48" s="6" t="n">
        <v>9.85</v>
      </c>
      <c r="X48" s="6" t="n">
        <v>2.770034850864902</v>
      </c>
      <c r="Y48" s="6" t="n">
        <v>0.6285698679155187</v>
      </c>
      <c r="Z48" s="6" t="n">
        <v>0.7292449418395175</v>
      </c>
      <c r="AA48" s="9">
        <f>P48*(1-R48)*((1-B48)*Q48-B48*'模型说明与假设'!$B$7-'模型说明与假设'!$B$8)</f>
        <v/>
      </c>
      <c r="AB48" s="6" t="b">
        <v>0</v>
      </c>
      <c r="AC48" s="6" t="n">
        <v>0.03974630692107985</v>
      </c>
      <c r="AD48" s="6" t="inlineStr">
        <is>
          <t>A</t>
        </is>
      </c>
      <c r="AE48" s="6" t="n">
        <v>100</v>
      </c>
      <c r="AF48" s="6" t="n">
        <v>0.0985</v>
      </c>
      <c r="AG48" s="6" t="n">
        <v>0.708302023264193</v>
      </c>
      <c r="AH48" s="6" t="n">
        <v>1.334145004792964</v>
      </c>
    </row>
    <row r="49">
      <c r="A49" s="6" t="inlineStr">
        <is>
          <t>E310</t>
        </is>
      </c>
      <c r="B49" s="6" t="n">
        <v>0.03980653309570228</v>
      </c>
      <c r="C49" s="6" t="inlineStr">
        <is>
          <t>A</t>
        </is>
      </c>
      <c r="D49" s="6" t="n">
        <v>0.7334499183362686</v>
      </c>
      <c r="E49" s="6" t="n">
        <v>0.0818299754402141</v>
      </c>
      <c r="F49" s="6" t="n">
        <v>0.2251666494696496</v>
      </c>
      <c r="G49" s="6" t="n">
        <v>48</v>
      </c>
      <c r="H49" s="6" t="n">
        <v>63</v>
      </c>
      <c r="I49" s="6" t="inlineStr">
        <is>
          <t>***律师事务所</t>
        </is>
      </c>
      <c r="J49" s="6" t="b">
        <v>0</v>
      </c>
      <c r="K49" s="6" t="inlineStr">
        <is>
          <t>其他</t>
        </is>
      </c>
      <c r="L49" s="6" t="n">
        <v>0.3</v>
      </c>
      <c r="M49" s="6" t="n">
        <v>1</v>
      </c>
      <c r="N49" s="6" t="n">
        <v>0.03980653309570229</v>
      </c>
      <c r="O49" s="6" t="inlineStr">
        <is>
          <t>A</t>
        </is>
      </c>
      <c r="P49" s="6" t="n">
        <v>100</v>
      </c>
      <c r="Q49" s="6" t="n">
        <v>0.0985</v>
      </c>
      <c r="R49" s="6" t="n">
        <v>0.708302023264193</v>
      </c>
      <c r="S49" s="6" t="n">
        <v>0.01332917890241083</v>
      </c>
      <c r="T49" s="6" t="inlineStr"/>
      <c r="U49" s="6" t="n">
        <v>0.291697976735807</v>
      </c>
      <c r="V49" s="6" t="n">
        <v>29.1697976735807</v>
      </c>
      <c r="W49" s="6" t="n">
        <v>9.85</v>
      </c>
      <c r="X49" s="6" t="n">
        <v>2.758851941973599</v>
      </c>
      <c r="Y49" s="6" t="n">
        <v>0.6966891098929978</v>
      </c>
      <c r="Z49" s="6" t="n">
        <v>0.7292449418395175</v>
      </c>
      <c r="AA49" s="9">
        <f>P49*(1-R49)*((1-B49)*Q49-B49*'模型说明与假设'!$B$7-'模型说明与假设'!$B$8)</f>
        <v/>
      </c>
      <c r="AB49" s="6" t="b">
        <v>0</v>
      </c>
      <c r="AC49" s="6" t="n">
        <v>0.03980653309570229</v>
      </c>
      <c r="AD49" s="6" t="inlineStr">
        <is>
          <t>A</t>
        </is>
      </c>
      <c r="AE49" s="6" t="n">
        <v>100</v>
      </c>
      <c r="AF49" s="6" t="n">
        <v>0.0985</v>
      </c>
      <c r="AG49" s="6" t="n">
        <v>0.708302023264193</v>
      </c>
      <c r="AH49" s="6" t="n">
        <v>1.332917890241083</v>
      </c>
    </row>
    <row r="50">
      <c r="A50" s="6" t="inlineStr">
        <is>
          <t>E205</t>
        </is>
      </c>
      <c r="B50" s="6" t="n">
        <v>0.03982583856290431</v>
      </c>
      <c r="C50" s="6" t="inlineStr">
        <is>
          <t>A</t>
        </is>
      </c>
      <c r="D50" s="6" t="n">
        <v>0.6934146722508361</v>
      </c>
      <c r="E50" s="6" t="n">
        <v>0.09998093235788839</v>
      </c>
      <c r="F50" s="6" t="n">
        <v>0.2261303433900785</v>
      </c>
      <c r="G50" s="6" t="n">
        <v>49</v>
      </c>
      <c r="H50" s="6" t="n">
        <v>124</v>
      </c>
      <c r="I50" s="6" t="inlineStr">
        <is>
          <t xml:space="preserve">个体经营E205 </t>
        </is>
      </c>
      <c r="J50" s="6" t="b">
        <v>0</v>
      </c>
      <c r="K50" s="6" t="inlineStr">
        <is>
          <t>未知</t>
        </is>
      </c>
      <c r="L50" s="6" t="n">
        <v>0</v>
      </c>
      <c r="M50" s="6" t="n">
        <v>1</v>
      </c>
      <c r="N50" s="6" t="n">
        <v>0.0398258385629043</v>
      </c>
      <c r="O50" s="6" t="inlineStr">
        <is>
          <t>A</t>
        </is>
      </c>
      <c r="P50" s="6" t="n">
        <v>100</v>
      </c>
      <c r="Q50" s="6" t="n">
        <v>0.0985</v>
      </c>
      <c r="R50" s="6" t="n">
        <v>0.708302023264193</v>
      </c>
      <c r="S50" s="6" t="n">
        <v>0.01332524539345348</v>
      </c>
      <c r="T50" s="6" t="inlineStr"/>
      <c r="U50" s="6" t="n">
        <v>0.291697976735807</v>
      </c>
      <c r="V50" s="6" t="n">
        <v>29.1697976735807</v>
      </c>
      <c r="W50" s="6" t="n">
        <v>9.85</v>
      </c>
      <c r="X50" s="6" t="n">
        <v>2.758796473021229</v>
      </c>
      <c r="Y50" s="6" t="n">
        <v>0.697026991836364</v>
      </c>
      <c r="Z50" s="6" t="n">
        <v>0.7292449418395175</v>
      </c>
      <c r="AA50" s="9">
        <f>P50*(1-R50)*((1-B50)*Q50-B50*'模型说明与假设'!$B$7-'模型说明与假设'!$B$8)</f>
        <v/>
      </c>
      <c r="AB50" s="6" t="b">
        <v>0</v>
      </c>
      <c r="AC50" s="6" t="n">
        <v>0.0398258385629043</v>
      </c>
      <c r="AD50" s="6" t="inlineStr">
        <is>
          <t>A</t>
        </is>
      </c>
      <c r="AE50" s="6" t="n">
        <v>100</v>
      </c>
      <c r="AF50" s="6" t="n">
        <v>0.0985</v>
      </c>
      <c r="AG50" s="6" t="n">
        <v>0.708302023264193</v>
      </c>
      <c r="AH50" s="6" t="n">
        <v>1.332524539345348</v>
      </c>
    </row>
    <row r="51">
      <c r="A51" s="6" t="inlineStr">
        <is>
          <t>E209</t>
        </is>
      </c>
      <c r="B51" s="6" t="n">
        <v>0.04076716699401998</v>
      </c>
      <c r="C51" s="6" t="inlineStr">
        <is>
          <t>A</t>
        </is>
      </c>
      <c r="D51" s="6" t="n">
        <v>0.7800133026724613</v>
      </c>
      <c r="E51" s="6" t="n">
        <v>0.0653457889410388</v>
      </c>
      <c r="F51" s="6" t="n">
        <v>0.231698485712284</v>
      </c>
      <c r="G51" s="6" t="n">
        <v>50</v>
      </c>
      <c r="H51" s="6" t="n">
        <v>9</v>
      </c>
      <c r="I51" s="6" t="inlineStr">
        <is>
          <t>***工程检测有限公司</t>
        </is>
      </c>
      <c r="J51" s="6" t="b">
        <v>0</v>
      </c>
      <c r="K51" s="6" t="inlineStr">
        <is>
          <t>其他</t>
        </is>
      </c>
      <c r="L51" s="6" t="n">
        <v>0.3</v>
      </c>
      <c r="M51" s="6" t="n">
        <v>1</v>
      </c>
      <c r="N51" s="6" t="n">
        <v>0.04076716699401999</v>
      </c>
      <c r="O51" s="6" t="inlineStr">
        <is>
          <t>A</t>
        </is>
      </c>
      <c r="P51" s="6" t="n">
        <v>100</v>
      </c>
      <c r="Q51" s="6" t="n">
        <v>0.0985</v>
      </c>
      <c r="R51" s="6" t="n">
        <v>0.708302023264193</v>
      </c>
      <c r="S51" s="6" t="n">
        <v>0.01313344874969145</v>
      </c>
      <c r="T51" s="6" t="inlineStr"/>
      <c r="U51" s="6" t="n">
        <v>0.291697976735807</v>
      </c>
      <c r="V51" s="6" t="n">
        <v>29.1697976735807</v>
      </c>
      <c r="W51" s="6" t="n">
        <v>9.85</v>
      </c>
      <c r="X51" s="6" t="n">
        <v>2.756091824573046</v>
      </c>
      <c r="Y51" s="6" t="n">
        <v>0.713502007764384</v>
      </c>
      <c r="Z51" s="6" t="n">
        <v>0.7292449418395175</v>
      </c>
      <c r="AA51" s="9">
        <f>P51*(1-R51)*((1-B51)*Q51-B51*'模型说明与假设'!$B$7-'模型说明与假设'!$B$8)</f>
        <v/>
      </c>
      <c r="AB51" s="6" t="b">
        <v>0</v>
      </c>
      <c r="AC51" s="6" t="n">
        <v>0.04076716699401999</v>
      </c>
      <c r="AD51" s="6" t="inlineStr">
        <is>
          <t>A</t>
        </is>
      </c>
      <c r="AE51" s="6" t="n">
        <v>100</v>
      </c>
      <c r="AF51" s="6" t="n">
        <v>0.0985</v>
      </c>
      <c r="AG51" s="6" t="n">
        <v>0.708302023264193</v>
      </c>
      <c r="AH51" s="6" t="n">
        <v>1.313344874969145</v>
      </c>
    </row>
    <row r="52">
      <c r="A52" s="6" t="inlineStr">
        <is>
          <t>E213</t>
        </is>
      </c>
      <c r="B52" s="6" t="n">
        <v>0.03729449558952257</v>
      </c>
      <c r="C52" s="6" t="inlineStr">
        <is>
          <t>A</t>
        </is>
      </c>
      <c r="D52" s="6" t="n">
        <v>0.7492709192413468</v>
      </c>
      <c r="E52" s="6" t="n">
        <v>0.07542815907167953</v>
      </c>
      <c r="F52" s="6" t="n">
        <v>0.2254071442902196</v>
      </c>
      <c r="G52" s="6" t="n">
        <v>51</v>
      </c>
      <c r="H52" s="6" t="n">
        <v>38</v>
      </c>
      <c r="I52" s="6" t="inlineStr">
        <is>
          <t>***科技有限公司</t>
        </is>
      </c>
      <c r="J52" s="6" t="b">
        <v>0</v>
      </c>
      <c r="K52" s="6" t="inlineStr">
        <is>
          <t>正面/轻影响</t>
        </is>
      </c>
      <c r="L52" s="6" t="n">
        <v>0.9</v>
      </c>
      <c r="M52" s="6" t="n">
        <v>0.9</v>
      </c>
      <c r="N52" s="6" t="n">
        <v>0.04126732354215461</v>
      </c>
      <c r="O52" s="6" t="inlineStr">
        <is>
          <t>A</t>
        </is>
      </c>
      <c r="P52" s="6" t="n">
        <v>100</v>
      </c>
      <c r="Q52" s="6" t="n">
        <v>0.0985</v>
      </c>
      <c r="R52" s="6" t="n">
        <v>0.708302023264193</v>
      </c>
      <c r="S52" s="6" t="n">
        <v>0.01384100914864973</v>
      </c>
      <c r="T52" s="6" t="inlineStr"/>
      <c r="U52" s="6" t="n">
        <v>0.291697976735807</v>
      </c>
      <c r="V52" s="6" t="n">
        <v>29.1697976735807</v>
      </c>
      <c r="W52" s="6" t="n">
        <v>9.85</v>
      </c>
      <c r="X52" s="6" t="n">
        <v>2.766069591115264</v>
      </c>
      <c r="Y52" s="6" t="n">
        <v>0.6527237344107727</v>
      </c>
      <c r="Z52" s="6" t="n">
        <v>0.7292449418395175</v>
      </c>
      <c r="AA52" s="9">
        <f>P52*(1-R52)*((1-B52)*Q52-B52*'模型说明与假设'!$B$7-'模型说明与假设'!$B$8)</f>
        <v/>
      </c>
      <c r="AB52" s="6" t="b">
        <v>0</v>
      </c>
      <c r="AC52" s="6" t="n">
        <v>0.04126732354215461</v>
      </c>
      <c r="AD52" s="6" t="inlineStr">
        <is>
          <t>A</t>
        </is>
      </c>
      <c r="AE52" s="6" t="n">
        <v>100</v>
      </c>
      <c r="AF52" s="6" t="n">
        <v>0.1025</v>
      </c>
      <c r="AG52" s="6" t="n">
        <v>0.731275401311664</v>
      </c>
      <c r="AH52" s="6" t="n">
        <v>1.303575106548647</v>
      </c>
    </row>
    <row r="53">
      <c r="A53" s="6" t="inlineStr">
        <is>
          <t>E164</t>
        </is>
      </c>
      <c r="B53" s="6" t="n">
        <v>0.04165985056170618</v>
      </c>
      <c r="C53" s="6" t="inlineStr">
        <is>
          <t>A</t>
        </is>
      </c>
      <c r="D53" s="6" t="n">
        <v>0.7520622627403996</v>
      </c>
      <c r="E53" s="6" t="n">
        <v>0.07529100792825075</v>
      </c>
      <c r="F53" s="6" t="n">
        <v>0.2283780049474219</v>
      </c>
      <c r="G53" s="6" t="n">
        <v>52</v>
      </c>
      <c r="H53" s="6" t="n">
        <v>30</v>
      </c>
      <c r="I53" s="6" t="inlineStr">
        <is>
          <t xml:space="preserve">个体经营E164 </t>
        </is>
      </c>
      <c r="J53" s="6" t="b">
        <v>0</v>
      </c>
      <c r="K53" s="6" t="inlineStr">
        <is>
          <t>未知</t>
        </is>
      </c>
      <c r="L53" s="6" t="n">
        <v>0</v>
      </c>
      <c r="M53" s="6" t="n">
        <v>1</v>
      </c>
      <c r="N53" s="6" t="n">
        <v>0.04165985056170619</v>
      </c>
      <c r="O53" s="6" t="inlineStr">
        <is>
          <t>A</t>
        </is>
      </c>
      <c r="P53" s="6" t="n">
        <v>100</v>
      </c>
      <c r="Q53" s="6" t="n">
        <v>0.1025</v>
      </c>
      <c r="R53" s="6" t="n">
        <v>0.731275401311664</v>
      </c>
      <c r="S53" s="6" t="n">
        <v>0.01296165019525963</v>
      </c>
      <c r="T53" s="6" t="inlineStr"/>
      <c r="U53" s="6" t="n">
        <v>0.268724598688336</v>
      </c>
      <c r="V53" s="6" t="n">
        <v>26.8724598688336</v>
      </c>
      <c r="W53" s="6" t="n">
        <v>10.25</v>
      </c>
      <c r="X53" s="6" t="n">
        <v>2.639678113663436</v>
      </c>
      <c r="Y53" s="6" t="n">
        <v>0.6717015974166325</v>
      </c>
      <c r="Z53" s="6" t="n">
        <v>0.67181149672084</v>
      </c>
      <c r="AA53" s="9">
        <f>P53*(1-R53)*((1-B53)*Q53-B53*'模型说明与假设'!$B$7-'模型说明与假设'!$B$8)</f>
        <v/>
      </c>
      <c r="AB53" s="6" t="b">
        <v>0</v>
      </c>
      <c r="AC53" s="6" t="n">
        <v>0.04165985056170619</v>
      </c>
      <c r="AD53" s="6" t="inlineStr">
        <is>
          <t>A</t>
        </is>
      </c>
      <c r="AE53" s="6" t="n">
        <v>100</v>
      </c>
      <c r="AF53" s="6" t="n">
        <v>0.1025</v>
      </c>
      <c r="AG53" s="6" t="n">
        <v>0.731275401311664</v>
      </c>
      <c r="AH53" s="6" t="n">
        <v>1.296165019525963</v>
      </c>
    </row>
    <row r="54">
      <c r="A54" s="6" t="inlineStr">
        <is>
          <t>E235</t>
        </is>
      </c>
      <c r="B54" s="6" t="n">
        <v>0.04209398386789636</v>
      </c>
      <c r="C54" s="6" t="inlineStr">
        <is>
          <t>A</t>
        </is>
      </c>
      <c r="D54" s="6" t="n">
        <v>0.7562870006080455</v>
      </c>
      <c r="E54" s="6" t="n">
        <v>0.07408326786735608</v>
      </c>
      <c r="F54" s="6" t="n">
        <v>0.229894230469574</v>
      </c>
      <c r="G54" s="6" t="n">
        <v>53</v>
      </c>
      <c r="H54" s="6" t="n">
        <v>28</v>
      </c>
      <c r="I54" s="6" t="inlineStr">
        <is>
          <t xml:space="preserve">个体经营E235 </t>
        </is>
      </c>
      <c r="J54" s="6" t="b">
        <v>0</v>
      </c>
      <c r="K54" s="6" t="inlineStr">
        <is>
          <t>未知</t>
        </is>
      </c>
      <c r="L54" s="6" t="n">
        <v>0</v>
      </c>
      <c r="M54" s="6" t="n">
        <v>1</v>
      </c>
      <c r="N54" s="6" t="n">
        <v>0.04209398386789636</v>
      </c>
      <c r="O54" s="6" t="inlineStr">
        <is>
          <t>A</t>
        </is>
      </c>
      <c r="P54" s="6" t="n">
        <v>100</v>
      </c>
      <c r="Q54" s="6" t="n">
        <v>0.1025</v>
      </c>
      <c r="R54" s="6" t="n">
        <v>0.731275401311664</v>
      </c>
      <c r="S54" s="6" t="n">
        <v>0.01287969493057519</v>
      </c>
      <c r="T54" s="6" t="inlineStr"/>
      <c r="U54" s="6" t="n">
        <v>0.268724598688336</v>
      </c>
      <c r="V54" s="6" t="n">
        <v>26.8724598688336</v>
      </c>
      <c r="W54" s="6" t="n">
        <v>10.25</v>
      </c>
      <c r="X54" s="6" t="n">
        <v>2.638482325103983</v>
      </c>
      <c r="Y54" s="6" t="n">
        <v>0.6787013353256243</v>
      </c>
      <c r="Z54" s="6" t="n">
        <v>0.67181149672084</v>
      </c>
      <c r="AA54" s="9">
        <f>P54*(1-R54)*((1-B54)*Q54-B54*'模型说明与假设'!$B$7-'模型说明与假设'!$B$8)</f>
        <v/>
      </c>
      <c r="AB54" s="6" t="b">
        <v>0</v>
      </c>
      <c r="AC54" s="6" t="n">
        <v>0.04209398386789636</v>
      </c>
      <c r="AD54" s="6" t="inlineStr">
        <is>
          <t>A</t>
        </is>
      </c>
      <c r="AE54" s="6" t="n">
        <v>100</v>
      </c>
      <c r="AF54" s="6" t="n">
        <v>0.1025</v>
      </c>
      <c r="AG54" s="6" t="n">
        <v>0.731275401311664</v>
      </c>
      <c r="AH54" s="6" t="n">
        <v>1.287969493057519</v>
      </c>
    </row>
    <row r="55">
      <c r="A55" s="6" t="inlineStr">
        <is>
          <t>E250</t>
        </is>
      </c>
      <c r="B55" s="6" t="n">
        <v>0.04218176851429475</v>
      </c>
      <c r="C55" s="6" t="inlineStr">
        <is>
          <t>A</t>
        </is>
      </c>
      <c r="D55" s="6" t="n">
        <v>0.7288278414711764</v>
      </c>
      <c r="E55" s="6" t="n">
        <v>0.0846598333878673</v>
      </c>
      <c r="F55" s="6" t="n">
        <v>0.2275397443533284</v>
      </c>
      <c r="G55" s="6" t="n">
        <v>54</v>
      </c>
      <c r="H55" s="6" t="n">
        <v>65</v>
      </c>
      <c r="I55" s="6" t="inlineStr">
        <is>
          <t>***塑料厂</t>
        </is>
      </c>
      <c r="J55" s="6" t="b">
        <v>0</v>
      </c>
      <c r="K55" s="6" t="inlineStr">
        <is>
          <t>其他</t>
        </is>
      </c>
      <c r="L55" s="6" t="n">
        <v>0.3</v>
      </c>
      <c r="M55" s="6" t="n">
        <v>1</v>
      </c>
      <c r="N55" s="6" t="n">
        <v>0.04218176851429475</v>
      </c>
      <c r="O55" s="6" t="inlineStr">
        <is>
          <t>A</t>
        </is>
      </c>
      <c r="P55" s="6" t="n">
        <v>100</v>
      </c>
      <c r="Q55" s="6" t="n">
        <v>0.1025</v>
      </c>
      <c r="R55" s="6" t="n">
        <v>0.731275401311664</v>
      </c>
      <c r="S55" s="6" t="n">
        <v>0.01286312303012841</v>
      </c>
      <c r="T55" s="6" t="inlineStr"/>
      <c r="U55" s="6" t="n">
        <v>0.268724598688336</v>
      </c>
      <c r="V55" s="6" t="n">
        <v>26.8724598688336</v>
      </c>
      <c r="W55" s="6" t="n">
        <v>10.25</v>
      </c>
      <c r="X55" s="6" t="n">
        <v>2.63824052869177</v>
      </c>
      <c r="Y55" s="6" t="n">
        <v>0.6801167289580886</v>
      </c>
      <c r="Z55" s="6" t="n">
        <v>0.67181149672084</v>
      </c>
      <c r="AA55" s="9">
        <f>P55*(1-R55)*((1-B55)*Q55-B55*'模型说明与假设'!$B$7-'模型说明与假设'!$B$8)</f>
        <v/>
      </c>
      <c r="AB55" s="6" t="b">
        <v>0</v>
      </c>
      <c r="AC55" s="6" t="n">
        <v>0.04218176851429475</v>
      </c>
      <c r="AD55" s="6" t="inlineStr">
        <is>
          <t>A</t>
        </is>
      </c>
      <c r="AE55" s="6" t="n">
        <v>100</v>
      </c>
      <c r="AF55" s="6" t="n">
        <v>0.1025</v>
      </c>
      <c r="AG55" s="6" t="n">
        <v>0.731275401311664</v>
      </c>
      <c r="AH55" s="6" t="n">
        <v>1.286312303012842</v>
      </c>
    </row>
    <row r="56">
      <c r="A56" s="6" t="inlineStr">
        <is>
          <t>E206</t>
        </is>
      </c>
      <c r="B56" s="6" t="n">
        <v>0.04834278857092281</v>
      </c>
      <c r="C56" s="6" t="inlineStr">
        <is>
          <t>A</t>
        </is>
      </c>
      <c r="D56" s="6" t="n">
        <v>0.7621625455813394</v>
      </c>
      <c r="E56" s="6" t="n">
        <v>0.07136482911309848</v>
      </c>
      <c r="F56" s="6" t="n">
        <v>0.2286923224719349</v>
      </c>
      <c r="G56" s="6" t="n">
        <v>55</v>
      </c>
      <c r="H56" s="6" t="n">
        <v>21</v>
      </c>
      <c r="I56" s="6" t="inlineStr">
        <is>
          <t>***建设工程有限公司</t>
        </is>
      </c>
      <c r="J56" s="6" t="b">
        <v>0</v>
      </c>
      <c r="K56" s="6" t="inlineStr">
        <is>
          <t>中度负面</t>
        </is>
      </c>
      <c r="L56" s="6" t="n">
        <v>0.9</v>
      </c>
      <c r="M56" s="6" t="n">
        <v>1.15</v>
      </c>
      <c r="N56" s="6" t="n">
        <v>0.04230395849487604</v>
      </c>
      <c r="O56" s="6" t="inlineStr">
        <is>
          <t>A</t>
        </is>
      </c>
      <c r="P56" s="6" t="n">
        <v>100</v>
      </c>
      <c r="Q56" s="6" t="n">
        <v>0.1025</v>
      </c>
      <c r="R56" s="6" t="n">
        <v>0.731275401311664</v>
      </c>
      <c r="S56" s="6" t="n">
        <v>0.01170005163646313</v>
      </c>
      <c r="T56" s="6" t="inlineStr"/>
      <c r="U56" s="6" t="n">
        <v>0.268724598688336</v>
      </c>
      <c r="V56" s="6" t="n">
        <v>26.8724598688336</v>
      </c>
      <c r="W56" s="6" t="n">
        <v>10.25</v>
      </c>
      <c r="X56" s="6" t="n">
        <v>2.621270447858931</v>
      </c>
      <c r="Y56" s="6" t="n">
        <v>0.7794537874917783</v>
      </c>
      <c r="Z56" s="6" t="n">
        <v>0.67181149672084</v>
      </c>
      <c r="AA56" s="9">
        <f>P56*(1-R56)*((1-B56)*Q56-B56*'模型说明与假设'!$B$7-'模型说明与假设'!$B$8)</f>
        <v/>
      </c>
      <c r="AB56" s="6" t="b">
        <v>0</v>
      </c>
      <c r="AC56" s="6" t="n">
        <v>0.04230395849487604</v>
      </c>
      <c r="AD56" s="6" t="inlineStr">
        <is>
          <t>A</t>
        </is>
      </c>
      <c r="AE56" s="6" t="n">
        <v>100</v>
      </c>
      <c r="AF56" s="6" t="n">
        <v>0.1025</v>
      </c>
      <c r="AG56" s="6" t="n">
        <v>0.731275401311664</v>
      </c>
      <c r="AH56" s="6" t="n">
        <v>1.284005612404787</v>
      </c>
    </row>
    <row r="57">
      <c r="A57" s="6" t="inlineStr">
        <is>
          <t>E140</t>
        </is>
      </c>
      <c r="B57" s="6" t="n">
        <v>0.04940736857445636</v>
      </c>
      <c r="C57" s="6" t="inlineStr">
        <is>
          <t>A</t>
        </is>
      </c>
      <c r="D57" s="6" t="n">
        <v>0.7221174277265265</v>
      </c>
      <c r="E57" s="6" t="n">
        <v>0.089291065995649</v>
      </c>
      <c r="F57" s="6" t="n">
        <v>0.2320355478510613</v>
      </c>
      <c r="G57" s="6" t="n">
        <v>56</v>
      </c>
      <c r="H57" s="6" t="n">
        <v>78</v>
      </c>
      <c r="I57" s="6" t="inlineStr">
        <is>
          <t>***建筑工程有限公司</t>
        </is>
      </c>
      <c r="J57" s="6" t="b">
        <v>0</v>
      </c>
      <c r="K57" s="6" t="inlineStr">
        <is>
          <t>中度负面</t>
        </is>
      </c>
      <c r="L57" s="6" t="n">
        <v>0.9</v>
      </c>
      <c r="M57" s="6" t="n">
        <v>1.15</v>
      </c>
      <c r="N57" s="6" t="n">
        <v>0.04324159704600555</v>
      </c>
      <c r="O57" s="6" t="inlineStr">
        <is>
          <t>A</t>
        </is>
      </c>
      <c r="P57" s="6" t="n">
        <v>100</v>
      </c>
      <c r="Q57" s="6" t="n">
        <v>0.1025</v>
      </c>
      <c r="R57" s="6" t="n">
        <v>0.731275401311664</v>
      </c>
      <c r="S57" s="6" t="n">
        <v>0.01149908125542275</v>
      </c>
      <c r="T57" s="6" t="inlineStr"/>
      <c r="U57" s="6" t="n">
        <v>0.268724598688336</v>
      </c>
      <c r="V57" s="6" t="n">
        <v>26.8724598688336</v>
      </c>
      <c r="W57" s="6" t="n">
        <v>10.25</v>
      </c>
      <c r="X57" s="6" t="n">
        <v>2.618338139808164</v>
      </c>
      <c r="Y57" s="6" t="n">
        <v>0.7966185175450494</v>
      </c>
      <c r="Z57" s="6" t="n">
        <v>0.67181149672084</v>
      </c>
      <c r="AA57" s="9">
        <f>P57*(1-R57)*((1-B57)*Q57-B57*'模型说明与假设'!$B$7-'模型说明与假设'!$B$8)</f>
        <v/>
      </c>
      <c r="AB57" s="6" t="b">
        <v>0</v>
      </c>
      <c r="AC57" s="6" t="n">
        <v>0.04324159704600555</v>
      </c>
      <c r="AD57" s="6" t="inlineStr">
        <is>
          <t>A</t>
        </is>
      </c>
      <c r="AE57" s="6" t="n">
        <v>100</v>
      </c>
      <c r="AF57" s="6" t="n">
        <v>0.1025</v>
      </c>
      <c r="AG57" s="6" t="n">
        <v>0.731275401311664</v>
      </c>
      <c r="AH57" s="6" t="n">
        <v>1.266304962733256</v>
      </c>
    </row>
    <row r="58">
      <c r="A58" s="6" t="inlineStr">
        <is>
          <t>E212</t>
        </is>
      </c>
      <c r="B58" s="6" t="n">
        <v>0.04326917755095708</v>
      </c>
      <c r="C58" s="6" t="inlineStr">
        <is>
          <t>A</t>
        </is>
      </c>
      <c r="D58" s="6" t="n">
        <v>0.7342734750931665</v>
      </c>
      <c r="E58" s="6" t="n">
        <v>0.08306824868167396</v>
      </c>
      <c r="F58" s="6" t="n">
        <v>0.2295397934051993</v>
      </c>
      <c r="G58" s="6" t="n">
        <v>57</v>
      </c>
      <c r="H58" s="6" t="n">
        <v>61</v>
      </c>
      <c r="I58" s="6" t="inlineStr">
        <is>
          <t>***建电管理咨询有限公司</t>
        </is>
      </c>
      <c r="J58" s="6" t="b">
        <v>0</v>
      </c>
      <c r="K58" s="6" t="inlineStr">
        <is>
          <t>其他</t>
        </is>
      </c>
      <c r="L58" s="6" t="n">
        <v>0.3</v>
      </c>
      <c r="M58" s="6" t="n">
        <v>1</v>
      </c>
      <c r="N58" s="6" t="n">
        <v>0.04326917755095708</v>
      </c>
      <c r="O58" s="6" t="inlineStr">
        <is>
          <t>A</t>
        </is>
      </c>
      <c r="P58" s="6" t="n">
        <v>100</v>
      </c>
      <c r="Q58" s="6" t="n">
        <v>0.1025</v>
      </c>
      <c r="R58" s="6" t="n">
        <v>0.731275401311664</v>
      </c>
      <c r="S58" s="6" t="n">
        <v>0.01265784300634494</v>
      </c>
      <c r="T58" s="6" t="inlineStr"/>
      <c r="U58" s="6" t="n">
        <v>0.268724598688336</v>
      </c>
      <c r="V58" s="6" t="n">
        <v>26.8724598688336</v>
      </c>
      <c r="W58" s="6" t="n">
        <v>10.25</v>
      </c>
      <c r="X58" s="6" t="n">
        <v>2.635245339732652</v>
      </c>
      <c r="Y58" s="6" t="n">
        <v>0.6976495423773179</v>
      </c>
      <c r="Z58" s="6" t="n">
        <v>0.67181149672084</v>
      </c>
      <c r="AA58" s="9">
        <f>P58*(1-R58)*((1-B58)*Q58-B58*'模型说明与假设'!$B$7-'模型说明与假设'!$B$8)</f>
        <v/>
      </c>
      <c r="AB58" s="6" t="b">
        <v>0</v>
      </c>
      <c r="AC58" s="6" t="n">
        <v>0.04326917755095708</v>
      </c>
      <c r="AD58" s="6" t="inlineStr">
        <is>
          <t>A</t>
        </is>
      </c>
      <c r="AE58" s="6" t="n">
        <v>100</v>
      </c>
      <c r="AF58" s="6" t="n">
        <v>0.1025</v>
      </c>
      <c r="AG58" s="6" t="n">
        <v>0.731275401311664</v>
      </c>
      <c r="AH58" s="6" t="n">
        <v>1.265784300634494</v>
      </c>
    </row>
    <row r="59">
      <c r="A59" s="6" t="inlineStr">
        <is>
          <t>E150</t>
        </is>
      </c>
      <c r="B59" s="6" t="n">
        <v>0.0497253329969739</v>
      </c>
      <c r="C59" s="6" t="inlineStr">
        <is>
          <t>A</t>
        </is>
      </c>
      <c r="D59" s="6" t="n">
        <v>0.7621098917372865</v>
      </c>
      <c r="E59" s="6" t="n">
        <v>0.07114461356225965</v>
      </c>
      <c r="F59" s="6" t="n">
        <v>0.2279204214735446</v>
      </c>
      <c r="G59" s="6" t="n">
        <v>58</v>
      </c>
      <c r="H59" s="6" t="n">
        <v>22</v>
      </c>
      <c r="I59" s="6" t="inlineStr">
        <is>
          <t>***建设工程有限公司</t>
        </is>
      </c>
      <c r="J59" s="6" t="b">
        <v>0</v>
      </c>
      <c r="K59" s="6" t="inlineStr">
        <is>
          <t>中度负面</t>
        </is>
      </c>
      <c r="L59" s="6" t="n">
        <v>0.9</v>
      </c>
      <c r="M59" s="6" t="n">
        <v>1.15</v>
      </c>
      <c r="N59" s="6" t="n">
        <v>0.04352169794382738</v>
      </c>
      <c r="O59" s="6" t="inlineStr">
        <is>
          <t>A</t>
        </is>
      </c>
      <c r="P59" s="6" t="n">
        <v>100</v>
      </c>
      <c r="Q59" s="6" t="n">
        <v>0.1025</v>
      </c>
      <c r="R59" s="6" t="n">
        <v>0.731275401311664</v>
      </c>
      <c r="S59" s="6" t="n">
        <v>0.01143905623998142</v>
      </c>
      <c r="T59" s="6" t="inlineStr"/>
      <c r="U59" s="6" t="n">
        <v>0.268724598688336</v>
      </c>
      <c r="V59" s="6" t="n">
        <v>26.8724598688336</v>
      </c>
      <c r="W59" s="6" t="n">
        <v>10.25</v>
      </c>
      <c r="X59" s="6" t="n">
        <v>2.617462329974323</v>
      </c>
      <c r="Y59" s="6" t="n">
        <v>0.801745209255341</v>
      </c>
      <c r="Z59" s="6" t="n">
        <v>0.67181149672084</v>
      </c>
      <c r="AA59" s="9">
        <f>P59*(1-R59)*((1-B59)*Q59-B59*'模型说明与假设'!$B$7-'模型说明与假设'!$B$8)</f>
        <v/>
      </c>
      <c r="AB59" s="6" t="b">
        <v>0</v>
      </c>
      <c r="AC59" s="6" t="n">
        <v>0.04352169794382738</v>
      </c>
      <c r="AD59" s="6" t="inlineStr">
        <is>
          <t>A</t>
        </is>
      </c>
      <c r="AE59" s="6" t="n">
        <v>100</v>
      </c>
      <c r="AF59" s="6" t="n">
        <v>0.1025</v>
      </c>
      <c r="AG59" s="6" t="n">
        <v>0.731275401311664</v>
      </c>
      <c r="AH59" s="6" t="n">
        <v>1.261017245137757</v>
      </c>
    </row>
    <row r="60">
      <c r="A60" s="6" t="inlineStr">
        <is>
          <t>E159</t>
        </is>
      </c>
      <c r="B60" s="6" t="n">
        <v>0.04405657966243549</v>
      </c>
      <c r="C60" s="6" t="inlineStr">
        <is>
          <t>A</t>
        </is>
      </c>
      <c r="D60" s="6" t="n">
        <v>0.7464250769923899</v>
      </c>
      <c r="E60" s="6" t="n">
        <v>0.07785883672142255</v>
      </c>
      <c r="F60" s="6" t="n">
        <v>0.2291858654831639</v>
      </c>
      <c r="G60" s="6" t="n">
        <v>59</v>
      </c>
      <c r="H60" s="6" t="n">
        <v>43</v>
      </c>
      <c r="I60" s="6" t="inlineStr">
        <is>
          <t xml:space="preserve">个体经营E159 </t>
        </is>
      </c>
      <c r="J60" s="6" t="b">
        <v>0</v>
      </c>
      <c r="K60" s="6" t="inlineStr">
        <is>
          <t>未知</t>
        </is>
      </c>
      <c r="L60" s="6" t="n">
        <v>0</v>
      </c>
      <c r="M60" s="6" t="n">
        <v>1</v>
      </c>
      <c r="N60" s="6" t="n">
        <v>0.04405657966243549</v>
      </c>
      <c r="O60" s="6" t="inlineStr">
        <is>
          <t>A</t>
        </is>
      </c>
      <c r="P60" s="6" t="n">
        <v>100</v>
      </c>
      <c r="Q60" s="6" t="n">
        <v>0.1025</v>
      </c>
      <c r="R60" s="6" t="n">
        <v>0.731275401311664</v>
      </c>
      <c r="S60" s="6" t="n">
        <v>0.01250919799906454</v>
      </c>
      <c r="T60" s="6" t="inlineStr"/>
      <c r="U60" s="6" t="n">
        <v>0.268724598688336</v>
      </c>
      <c r="V60" s="6" t="n">
        <v>26.8724598688336</v>
      </c>
      <c r="W60" s="6" t="n">
        <v>10.25</v>
      </c>
      <c r="X60" s="6" t="n">
        <v>2.633076497989415</v>
      </c>
      <c r="Y60" s="6" t="n">
        <v>0.7103452013621209</v>
      </c>
      <c r="Z60" s="6" t="n">
        <v>0.67181149672084</v>
      </c>
      <c r="AA60" s="9">
        <f>P60*(1-R60)*((1-B60)*Q60-B60*'模型说明与假设'!$B$7-'模型说明与假设'!$B$8)</f>
        <v/>
      </c>
      <c r="AB60" s="6" t="b">
        <v>0</v>
      </c>
      <c r="AC60" s="6" t="n">
        <v>0.04405657966243549</v>
      </c>
      <c r="AD60" s="6" t="inlineStr">
        <is>
          <t>A</t>
        </is>
      </c>
      <c r="AE60" s="6" t="n">
        <v>100</v>
      </c>
      <c r="AF60" s="6" t="n">
        <v>0.1025</v>
      </c>
      <c r="AG60" s="6" t="n">
        <v>0.731275401311664</v>
      </c>
      <c r="AH60" s="6" t="n">
        <v>1.250919799906454</v>
      </c>
    </row>
    <row r="61">
      <c r="A61" s="6" t="inlineStr">
        <is>
          <t>E308</t>
        </is>
      </c>
      <c r="B61" s="6" t="n">
        <v>0.05784053757612553</v>
      </c>
      <c r="C61" s="6" t="inlineStr">
        <is>
          <t>A</t>
        </is>
      </c>
      <c r="D61" s="6" t="n">
        <v>0.7130151779990307</v>
      </c>
      <c r="E61" s="6" t="n">
        <v>0.08838215368860652</v>
      </c>
      <c r="F61" s="6" t="n">
        <v>0.2195858882181813</v>
      </c>
      <c r="G61" s="6" t="n">
        <v>60</v>
      </c>
      <c r="H61" s="6" t="n">
        <v>94</v>
      </c>
      <c r="I61" s="6" t="inlineStr">
        <is>
          <t>***餐饮文化服务有限公司</t>
        </is>
      </c>
      <c r="J61" s="6" t="b">
        <v>0</v>
      </c>
      <c r="K61" s="6" t="inlineStr">
        <is>
          <t>严重负面</t>
        </is>
      </c>
      <c r="L61" s="6" t="n">
        <v>0.9</v>
      </c>
      <c r="M61" s="6" t="n">
        <v>1.3</v>
      </c>
      <c r="N61" s="6" t="n">
        <v>0.04509463613451662</v>
      </c>
      <c r="O61" s="6" t="inlineStr">
        <is>
          <t>A</t>
        </is>
      </c>
      <c r="P61" s="6" t="n">
        <v>100</v>
      </c>
      <c r="Q61" s="6" t="n">
        <v>0.1225</v>
      </c>
      <c r="R61" s="6" t="n">
        <v>0.81480900767149</v>
      </c>
      <c r="S61" s="6" t="n">
        <v>0.01031702936926663</v>
      </c>
      <c r="T61" s="6" t="inlineStr"/>
      <c r="U61" s="6" t="n">
        <v>0.18519099232851</v>
      </c>
      <c r="V61" s="6" t="n">
        <v>18.519099232851</v>
      </c>
      <c r="W61" s="6" t="n">
        <v>12.25</v>
      </c>
      <c r="X61" s="6" t="n">
        <v>2.137373210780167</v>
      </c>
      <c r="Y61" s="6" t="n">
        <v>0.6426927930322294</v>
      </c>
      <c r="Z61" s="6" t="n">
        <v>0.462977480821275</v>
      </c>
      <c r="AA61" s="9">
        <f>P61*(1-R61)*((1-B61)*Q61-B61*'模型说明与假设'!$B$7-'模型说明与假设'!$B$8)</f>
        <v/>
      </c>
      <c r="AB61" s="6" t="b">
        <v>0</v>
      </c>
      <c r="AC61" s="6" t="n">
        <v>0.04509463613451662</v>
      </c>
      <c r="AD61" s="6" t="inlineStr">
        <is>
          <t>A</t>
        </is>
      </c>
      <c r="AE61" s="6" t="n">
        <v>100</v>
      </c>
      <c r="AF61" s="6" t="n">
        <v>0.1025</v>
      </c>
      <c r="AG61" s="6" t="n">
        <v>0.731275401311664</v>
      </c>
      <c r="AH61" s="6" t="n">
        <v>1.231323470457927</v>
      </c>
    </row>
    <row r="62">
      <c r="A62" s="6" t="inlineStr">
        <is>
          <t>E175</t>
        </is>
      </c>
      <c r="B62" s="6" t="n">
        <v>0.0451703761541593</v>
      </c>
      <c r="C62" s="6" t="inlineStr">
        <is>
          <t>A</t>
        </is>
      </c>
      <c r="D62" s="6" t="n">
        <v>0.5824654948638698</v>
      </c>
      <c r="E62" s="6" t="n">
        <v>0.1383722037346634</v>
      </c>
      <c r="F62" s="6" t="n">
        <v>0.1930308348945618</v>
      </c>
      <c r="G62" s="6" t="n">
        <v>61</v>
      </c>
      <c r="H62" s="6" t="n">
        <v>240</v>
      </c>
      <c r="I62" s="6" t="inlineStr">
        <is>
          <t>***食品集团有限公司</t>
        </is>
      </c>
      <c r="J62" s="6" t="b">
        <v>0</v>
      </c>
      <c r="K62" s="6" t="inlineStr">
        <is>
          <t>其他</t>
        </is>
      </c>
      <c r="L62" s="6" t="n">
        <v>0.3</v>
      </c>
      <c r="M62" s="6" t="n">
        <v>1</v>
      </c>
      <c r="N62" s="6" t="n">
        <v>0.0451703761541593</v>
      </c>
      <c r="O62" s="6" t="inlineStr">
        <is>
          <t>A</t>
        </is>
      </c>
      <c r="P62" s="6" t="n">
        <v>100</v>
      </c>
      <c r="Q62" s="6" t="n">
        <v>0.1025</v>
      </c>
      <c r="R62" s="6" t="n">
        <v>0.731275401311664</v>
      </c>
      <c r="S62" s="6" t="n">
        <v>0.01229893657709512</v>
      </c>
      <c r="T62" s="6" t="inlineStr"/>
      <c r="U62" s="6" t="n">
        <v>0.268724598688336</v>
      </c>
      <c r="V62" s="6" t="n">
        <v>26.8724598688336</v>
      </c>
      <c r="W62" s="6" t="n">
        <v>10.25</v>
      </c>
      <c r="X62" s="6" t="n">
        <v>2.63000862670801</v>
      </c>
      <c r="Y62" s="6" t="n">
        <v>0.7283034722776583</v>
      </c>
      <c r="Z62" s="6" t="n">
        <v>0.67181149672084</v>
      </c>
      <c r="AA62" s="9">
        <f>P62*(1-R62)*((1-B62)*Q62-B62*'模型说明与假设'!$B$7-'模型说明与假设'!$B$8)</f>
        <v/>
      </c>
      <c r="AB62" s="6" t="b">
        <v>0</v>
      </c>
      <c r="AC62" s="6" t="n">
        <v>0.0451703761541593</v>
      </c>
      <c r="AD62" s="6" t="inlineStr">
        <is>
          <t>A</t>
        </is>
      </c>
      <c r="AE62" s="6" t="n">
        <v>100</v>
      </c>
      <c r="AF62" s="6" t="n">
        <v>0.1025</v>
      </c>
      <c r="AG62" s="6" t="n">
        <v>0.731275401311664</v>
      </c>
      <c r="AH62" s="6" t="n">
        <v>1.229893657709512</v>
      </c>
    </row>
    <row r="63">
      <c r="A63" s="6" t="inlineStr">
        <is>
          <t>E315</t>
        </is>
      </c>
      <c r="B63" s="6" t="n">
        <v>0.04558905821389736</v>
      </c>
      <c r="C63" s="6" t="inlineStr">
        <is>
          <t>A</t>
        </is>
      </c>
      <c r="D63" s="6" t="n">
        <v>0.714189631987169</v>
      </c>
      <c r="E63" s="6" t="n">
        <v>0.08987842734674044</v>
      </c>
      <c r="F63" s="6" t="n">
        <v>0.2245903162878694</v>
      </c>
      <c r="G63" s="6" t="n">
        <v>62</v>
      </c>
      <c r="H63" s="6" t="n">
        <v>93</v>
      </c>
      <c r="I63" s="6" t="inlineStr">
        <is>
          <t>***轮胎有限公司</t>
        </is>
      </c>
      <c r="J63" s="6" t="b">
        <v>0</v>
      </c>
      <c r="K63" s="6" t="inlineStr">
        <is>
          <t>其他</t>
        </is>
      </c>
      <c r="L63" s="6" t="n">
        <v>0.3</v>
      </c>
      <c r="M63" s="6" t="n">
        <v>1</v>
      </c>
      <c r="N63" s="6" t="n">
        <v>0.04558905821389736</v>
      </c>
      <c r="O63" s="6" t="inlineStr">
        <is>
          <t>A</t>
        </is>
      </c>
      <c r="P63" s="6" t="n">
        <v>100</v>
      </c>
      <c r="Q63" s="6" t="n">
        <v>0.1025</v>
      </c>
      <c r="R63" s="6" t="n">
        <v>0.731275401311664</v>
      </c>
      <c r="S63" s="6" t="n">
        <v>0.01221989818373714</v>
      </c>
      <c r="T63" s="6" t="inlineStr"/>
      <c r="U63" s="6" t="n">
        <v>0.268724598688336</v>
      </c>
      <c r="V63" s="6" t="n">
        <v>26.8724598688336</v>
      </c>
      <c r="W63" s="6" t="n">
        <v>10.25</v>
      </c>
      <c r="X63" s="6" t="n">
        <v>2.628855397481079</v>
      </c>
      <c r="Y63" s="6" t="n">
        <v>0.7350540823865254</v>
      </c>
      <c r="Z63" s="6" t="n">
        <v>0.67181149672084</v>
      </c>
      <c r="AA63" s="9">
        <f>P63*(1-R63)*((1-B63)*Q63-B63*'模型说明与假设'!$B$7-'模型说明与假设'!$B$8)</f>
        <v/>
      </c>
      <c r="AB63" s="6" t="b">
        <v>0</v>
      </c>
      <c r="AC63" s="6" t="n">
        <v>0.04558905821389736</v>
      </c>
      <c r="AD63" s="6" t="inlineStr">
        <is>
          <t>A</t>
        </is>
      </c>
      <c r="AE63" s="6" t="n">
        <v>100</v>
      </c>
      <c r="AF63" s="6" t="n">
        <v>0.1025</v>
      </c>
      <c r="AG63" s="6" t="n">
        <v>0.731275401311664</v>
      </c>
      <c r="AH63" s="6" t="n">
        <v>1.221989818373713</v>
      </c>
    </row>
    <row r="64">
      <c r="A64" s="6" t="inlineStr">
        <is>
          <t>E143</t>
        </is>
      </c>
      <c r="B64" s="6" t="n">
        <v>0.04141577362954929</v>
      </c>
      <c r="C64" s="6" t="inlineStr">
        <is>
          <t>A</t>
        </is>
      </c>
      <c r="D64" s="6" t="n">
        <v>0.7759093916870478</v>
      </c>
      <c r="E64" s="6" t="n">
        <v>0.06728677871469255</v>
      </c>
      <c r="F64" s="6" t="n">
        <v>0.2329791682665556</v>
      </c>
      <c r="G64" s="6" t="n">
        <v>63</v>
      </c>
      <c r="H64" s="6" t="n">
        <v>13</v>
      </c>
      <c r="I64" s="6" t="inlineStr">
        <is>
          <t>***电子科技有限公司</t>
        </is>
      </c>
      <c r="J64" s="6" t="b">
        <v>0</v>
      </c>
      <c r="K64" s="6" t="inlineStr">
        <is>
          <t>正面/轻影响</t>
        </is>
      </c>
      <c r="L64" s="6" t="n">
        <v>0.9</v>
      </c>
      <c r="M64" s="6" t="n">
        <v>0.9</v>
      </c>
      <c r="N64" s="6" t="n">
        <v>0.04580673499203931</v>
      </c>
      <c r="O64" s="6" t="inlineStr">
        <is>
          <t>A</t>
        </is>
      </c>
      <c r="P64" s="6" t="n">
        <v>100</v>
      </c>
      <c r="Q64" s="6" t="n">
        <v>0.1025</v>
      </c>
      <c r="R64" s="6" t="n">
        <v>0.731275401311664</v>
      </c>
      <c r="S64" s="6" t="n">
        <v>0.0130077268018988</v>
      </c>
      <c r="T64" s="6" t="inlineStr"/>
      <c r="U64" s="6" t="n">
        <v>0.268724598688336</v>
      </c>
      <c r="V64" s="6" t="n">
        <v>26.8724598688336</v>
      </c>
      <c r="W64" s="6" t="n">
        <v>10.25</v>
      </c>
      <c r="X64" s="6" t="n">
        <v>2.640350405788776</v>
      </c>
      <c r="Y64" s="6" t="n">
        <v>0.667766228878056</v>
      </c>
      <c r="Z64" s="6" t="n">
        <v>0.67181149672084</v>
      </c>
      <c r="AA64" s="9">
        <f>P64*(1-R64)*((1-B64)*Q64-B64*'模型说明与假设'!$B$7-'模型说明与假设'!$B$8)</f>
        <v/>
      </c>
      <c r="AB64" s="6" t="b">
        <v>0</v>
      </c>
      <c r="AC64" s="6" t="n">
        <v>0.04580673499203931</v>
      </c>
      <c r="AD64" s="6" t="inlineStr">
        <is>
          <t>A</t>
        </is>
      </c>
      <c r="AE64" s="6" t="n">
        <v>100</v>
      </c>
      <c r="AF64" s="6" t="n">
        <v>0.1025</v>
      </c>
      <c r="AG64" s="6" t="n">
        <v>0.731275401311664</v>
      </c>
      <c r="AH64" s="6" t="n">
        <v>1.217880537258003</v>
      </c>
    </row>
    <row r="65">
      <c r="A65" s="6" t="inlineStr">
        <is>
          <t>E228</t>
        </is>
      </c>
      <c r="B65" s="6" t="n">
        <v>0.04588346091911708</v>
      </c>
      <c r="C65" s="6" t="inlineStr">
        <is>
          <t>A</t>
        </is>
      </c>
      <c r="D65" s="6" t="n">
        <v>0.7494231632767328</v>
      </c>
      <c r="E65" s="6" t="n">
        <v>0.07631369306448955</v>
      </c>
      <c r="F65" s="6" t="n">
        <v>0.22823837193252</v>
      </c>
      <c r="G65" s="6" t="n">
        <v>64</v>
      </c>
      <c r="H65" s="6" t="n">
        <v>36</v>
      </c>
      <c r="I65" s="6" t="inlineStr">
        <is>
          <t>***文化发展有限公司</t>
        </is>
      </c>
      <c r="J65" s="6" t="b">
        <v>0</v>
      </c>
      <c r="K65" s="6" t="inlineStr">
        <is>
          <t>其他</t>
        </is>
      </c>
      <c r="L65" s="6" t="n">
        <v>0.3</v>
      </c>
      <c r="M65" s="6" t="n">
        <v>1</v>
      </c>
      <c r="N65" s="6" t="n">
        <v>0.04588346091911708</v>
      </c>
      <c r="O65" s="6" t="inlineStr">
        <is>
          <t>A</t>
        </is>
      </c>
      <c r="P65" s="6" t="n">
        <v>100</v>
      </c>
      <c r="Q65" s="6" t="n">
        <v>0.1025</v>
      </c>
      <c r="R65" s="6" t="n">
        <v>0.731275401311664</v>
      </c>
      <c r="S65" s="6" t="n">
        <v>0.01216432112644605</v>
      </c>
      <c r="T65" s="6" t="inlineStr"/>
      <c r="U65" s="6" t="n">
        <v>0.268724598688336</v>
      </c>
      <c r="V65" s="6" t="n">
        <v>26.8724598688336</v>
      </c>
      <c r="W65" s="6" t="n">
        <v>10.25</v>
      </c>
      <c r="X65" s="6" t="n">
        <v>2.628044486680746</v>
      </c>
      <c r="Y65" s="6" t="n">
        <v>0.7398008773153011</v>
      </c>
      <c r="Z65" s="6" t="n">
        <v>0.67181149672084</v>
      </c>
      <c r="AA65" s="9">
        <f>P65*(1-R65)*((1-B65)*Q65-B65*'模型说明与假设'!$B$7-'模型说明与假设'!$B$8)</f>
        <v/>
      </c>
      <c r="AB65" s="6" t="b">
        <v>0</v>
      </c>
      <c r="AC65" s="6" t="n">
        <v>0.04588346091911708</v>
      </c>
      <c r="AD65" s="6" t="inlineStr">
        <is>
          <t>A</t>
        </is>
      </c>
      <c r="AE65" s="6" t="n">
        <v>100</v>
      </c>
      <c r="AF65" s="6" t="n">
        <v>0.1025</v>
      </c>
      <c r="AG65" s="6" t="n">
        <v>0.731275401311664</v>
      </c>
      <c r="AH65" s="6" t="n">
        <v>1.216432112644605</v>
      </c>
    </row>
    <row r="66">
      <c r="A66" s="6" t="inlineStr">
        <is>
          <t>E178</t>
        </is>
      </c>
      <c r="B66" s="6" t="n">
        <v>0.04598668078768669</v>
      </c>
      <c r="C66" s="6" t="inlineStr">
        <is>
          <t>A</t>
        </is>
      </c>
      <c r="D66" s="6" t="n">
        <v>0.5830515453993946</v>
      </c>
      <c r="E66" s="6" t="n">
        <v>0.1390073337564575</v>
      </c>
      <c r="F66" s="6" t="n">
        <v>0.1943847971476192</v>
      </c>
      <c r="G66" s="6" t="n">
        <v>65</v>
      </c>
      <c r="H66" s="6" t="n">
        <v>238</v>
      </c>
      <c r="I66" s="6" t="inlineStr">
        <is>
          <t>***贸易有限公司</t>
        </is>
      </c>
      <c r="J66" s="6" t="b">
        <v>0</v>
      </c>
      <c r="K66" s="6" t="inlineStr">
        <is>
          <t>其他</t>
        </is>
      </c>
      <c r="L66" s="6" t="n">
        <v>0.3</v>
      </c>
      <c r="M66" s="6" t="n">
        <v>1</v>
      </c>
      <c r="N66" s="6" t="n">
        <v>0.04598668078768669</v>
      </c>
      <c r="O66" s="6" t="inlineStr">
        <is>
          <t>A</t>
        </is>
      </c>
      <c r="P66" s="6" t="n">
        <v>100</v>
      </c>
      <c r="Q66" s="6" t="n">
        <v>0.1025</v>
      </c>
      <c r="R66" s="6" t="n">
        <v>0.731275401311664</v>
      </c>
      <c r="S66" s="6" t="n">
        <v>0.01214483537972103</v>
      </c>
      <c r="T66" s="6" t="inlineStr"/>
      <c r="U66" s="6" t="n">
        <v>0.268724598688336</v>
      </c>
      <c r="V66" s="6" t="n">
        <v>26.8724598688336</v>
      </c>
      <c r="W66" s="6" t="n">
        <v>10.25</v>
      </c>
      <c r="X66" s="6" t="n">
        <v>2.627760175073727</v>
      </c>
      <c r="Y66" s="6" t="n">
        <v>0.7414651403807829</v>
      </c>
      <c r="Z66" s="6" t="n">
        <v>0.67181149672084</v>
      </c>
      <c r="AA66" s="9">
        <f>P66*(1-R66)*((1-B66)*Q66-B66*'模型说明与假设'!$B$7-'模型说明与假设'!$B$8)</f>
        <v/>
      </c>
      <c r="AB66" s="6" t="b">
        <v>0</v>
      </c>
      <c r="AC66" s="6" t="n">
        <v>0.04598668078768669</v>
      </c>
      <c r="AD66" s="6" t="inlineStr">
        <is>
          <t>A</t>
        </is>
      </c>
      <c r="AE66" s="6" t="n">
        <v>100</v>
      </c>
      <c r="AF66" s="6" t="n">
        <v>0.1025</v>
      </c>
      <c r="AG66" s="6" t="n">
        <v>0.731275401311664</v>
      </c>
      <c r="AH66" s="6" t="n">
        <v>1.214483537972104</v>
      </c>
    </row>
    <row r="67">
      <c r="A67" s="6" t="inlineStr">
        <is>
          <t>E348</t>
        </is>
      </c>
      <c r="B67" s="6" t="n">
        <v>0.05974137532198918</v>
      </c>
      <c r="C67" s="6" t="inlineStr">
        <is>
          <t>A</t>
        </is>
      </c>
      <c r="D67" s="6" t="n">
        <v>0.6873210743793147</v>
      </c>
      <c r="E67" s="6" t="n">
        <v>0.1004824680722117</v>
      </c>
      <c r="F67" s="6" t="n">
        <v>0.2208774312966003</v>
      </c>
      <c r="G67" s="6" t="n">
        <v>66</v>
      </c>
      <c r="H67" s="6" t="n">
        <v>137</v>
      </c>
      <c r="I67" s="6" t="inlineStr">
        <is>
          <t>***酒店管理有限公司</t>
        </is>
      </c>
      <c r="J67" s="6" t="b">
        <v>0</v>
      </c>
      <c r="K67" s="6" t="inlineStr">
        <is>
          <t>严重负面</t>
        </is>
      </c>
      <c r="L67" s="6" t="n">
        <v>0.9</v>
      </c>
      <c r="M67" s="6" t="n">
        <v>1.3</v>
      </c>
      <c r="N67" s="6" t="n">
        <v>0.04659731665926992</v>
      </c>
      <c r="O67" s="6" t="inlineStr">
        <is>
          <t>A</t>
        </is>
      </c>
      <c r="P67" s="6" t="n">
        <v>100</v>
      </c>
      <c r="Q67" s="6" t="n">
        <v>0.1225</v>
      </c>
      <c r="R67" s="6" t="n">
        <v>0.81480900767149</v>
      </c>
      <c r="S67" s="6" t="n">
        <v>0.01006269634373897</v>
      </c>
      <c r="T67" s="6" t="inlineStr"/>
      <c r="U67" s="6" t="n">
        <v>0.18519099232851</v>
      </c>
      <c r="V67" s="6" t="n">
        <v>18.519099232851</v>
      </c>
      <c r="W67" s="6" t="n">
        <v>12.25</v>
      </c>
      <c r="X67" s="6" t="n">
        <v>2.13306098993212</v>
      </c>
      <c r="Y67" s="6" t="n">
        <v>0.6638138747369481</v>
      </c>
      <c r="Z67" s="6" t="n">
        <v>0.462977480821275</v>
      </c>
      <c r="AA67" s="9">
        <f>P67*(1-R67)*((1-B67)*Q67-B67*'模型说明与假设'!$B$7-'模型说明与假设'!$B$8)</f>
        <v/>
      </c>
      <c r="AB67" s="6" t="b">
        <v>0</v>
      </c>
      <c r="AC67" s="6" t="n">
        <v>0.04659731665926992</v>
      </c>
      <c r="AD67" s="6" t="inlineStr">
        <is>
          <t>A</t>
        </is>
      </c>
      <c r="AE67" s="6" t="n">
        <v>100</v>
      </c>
      <c r="AF67" s="6" t="n">
        <v>0.1025</v>
      </c>
      <c r="AG67" s="6" t="n">
        <v>0.731275401311664</v>
      </c>
      <c r="AH67" s="6" t="n">
        <v>1.202956013184706</v>
      </c>
    </row>
    <row r="68">
      <c r="A68" s="6" t="inlineStr">
        <is>
          <t>E172</t>
        </is>
      </c>
      <c r="B68" s="6" t="n">
        <v>0.05355856793755221</v>
      </c>
      <c r="C68" s="6" t="inlineStr">
        <is>
          <t>A</t>
        </is>
      </c>
      <c r="D68" s="6" t="n">
        <v>0.7488425358695956</v>
      </c>
      <c r="E68" s="6" t="n">
        <v>0.07637442143743646</v>
      </c>
      <c r="F68" s="6" t="n">
        <v>0.2277153721980886</v>
      </c>
      <c r="G68" s="6" t="n">
        <v>67</v>
      </c>
      <c r="H68" s="6" t="n">
        <v>39</v>
      </c>
      <c r="I68" s="6" t="inlineStr">
        <is>
          <t>***物流有限公司</t>
        </is>
      </c>
      <c r="J68" s="6" t="b">
        <v>0</v>
      </c>
      <c r="K68" s="6" t="inlineStr">
        <is>
          <t>中度负面</t>
        </is>
      </c>
      <c r="L68" s="6" t="n">
        <v>0.9</v>
      </c>
      <c r="M68" s="6" t="n">
        <v>1.15</v>
      </c>
      <c r="N68" s="6" t="n">
        <v>0.04690030864572727</v>
      </c>
      <c r="O68" s="6" t="inlineStr">
        <is>
          <t>A</t>
        </is>
      </c>
      <c r="P68" s="6" t="n">
        <v>100</v>
      </c>
      <c r="Q68" s="6" t="n">
        <v>0.1225</v>
      </c>
      <c r="R68" s="6" t="n">
        <v>0.81480900767149</v>
      </c>
      <c r="S68" s="6" t="n">
        <v>0.01088995901345417</v>
      </c>
      <c r="T68" s="6" t="inlineStr"/>
      <c r="U68" s="6" t="n">
        <v>0.18519099232851</v>
      </c>
      <c r="V68" s="6" t="n">
        <v>18.519099232851</v>
      </c>
      <c r="W68" s="6" t="n">
        <v>12.25</v>
      </c>
      <c r="X68" s="6" t="n">
        <v>2.147087242809644</v>
      </c>
      <c r="Y68" s="6" t="n">
        <v>0.5951138606429527</v>
      </c>
      <c r="Z68" s="6" t="n">
        <v>0.462977480821275</v>
      </c>
      <c r="AA68" s="9">
        <f>P68*(1-R68)*((1-B68)*Q68-B68*'模型说明与假设'!$B$7-'模型说明与假设'!$B$8)</f>
        <v/>
      </c>
      <c r="AB68" s="6" t="b">
        <v>0</v>
      </c>
      <c r="AC68" s="6" t="n">
        <v>0.04690030864572727</v>
      </c>
      <c r="AD68" s="6" t="inlineStr">
        <is>
          <t>A</t>
        </is>
      </c>
      <c r="AE68" s="6" t="n">
        <v>100</v>
      </c>
      <c r="AF68" s="6" t="n">
        <v>0.1025</v>
      </c>
      <c r="AG68" s="6" t="n">
        <v>0.731275401311664</v>
      </c>
      <c r="AH68" s="6" t="n">
        <v>1.197236159837058</v>
      </c>
    </row>
    <row r="69">
      <c r="A69" s="6" t="inlineStr">
        <is>
          <t>E298</t>
        </is>
      </c>
      <c r="B69" s="6" t="n">
        <v>0.04762694213132843</v>
      </c>
      <c r="C69" s="6" t="inlineStr">
        <is>
          <t>A</t>
        </is>
      </c>
      <c r="D69" s="6" t="n">
        <v>0.7259259125620074</v>
      </c>
      <c r="E69" s="6" t="n">
        <v>0.08447355665310106</v>
      </c>
      <c r="F69" s="6" t="n">
        <v>0.2237407566471763</v>
      </c>
      <c r="G69" s="6" t="n">
        <v>68</v>
      </c>
      <c r="H69" s="6" t="n">
        <v>71</v>
      </c>
      <c r="I69" s="6" t="inlineStr">
        <is>
          <t>***电器维护服务有限公司</t>
        </is>
      </c>
      <c r="J69" s="6" t="b">
        <v>0</v>
      </c>
      <c r="K69" s="6" t="inlineStr">
        <is>
          <t>其他</t>
        </is>
      </c>
      <c r="L69" s="6" t="n">
        <v>0.3</v>
      </c>
      <c r="M69" s="6" t="n">
        <v>1</v>
      </c>
      <c r="N69" s="6" t="n">
        <v>0.04762694213132843</v>
      </c>
      <c r="O69" s="6" t="inlineStr">
        <is>
          <t>A</t>
        </is>
      </c>
      <c r="P69" s="6" t="n">
        <v>100</v>
      </c>
      <c r="Q69" s="6" t="n">
        <v>0.1025</v>
      </c>
      <c r="R69" s="6" t="n">
        <v>0.731275401311664</v>
      </c>
      <c r="S69" s="6" t="n">
        <v>0.01183518843337287</v>
      </c>
      <c r="T69" s="6" t="inlineStr"/>
      <c r="U69" s="6" t="n">
        <v>0.268724598688336</v>
      </c>
      <c r="V69" s="6" t="n">
        <v>26.8724598688336</v>
      </c>
      <c r="W69" s="6" t="n">
        <v>10.25</v>
      </c>
      <c r="X69" s="6" t="n">
        <v>2.623242194717757</v>
      </c>
      <c r="Y69" s="6" t="n">
        <v>0.7679118546596301</v>
      </c>
      <c r="Z69" s="6" t="n">
        <v>0.67181149672084</v>
      </c>
      <c r="AA69" s="9">
        <f>P69*(1-R69)*((1-B69)*Q69-B69*'模型说明与假设'!$B$7-'模型说明与假设'!$B$8)</f>
        <v/>
      </c>
      <c r="AB69" s="6" t="b">
        <v>0</v>
      </c>
      <c r="AC69" s="6" t="n">
        <v>0.04762694213132843</v>
      </c>
      <c r="AD69" s="6" t="inlineStr">
        <is>
          <t>A</t>
        </is>
      </c>
      <c r="AE69" s="6" t="n">
        <v>100</v>
      </c>
      <c r="AF69" s="6" t="n">
        <v>0.1025</v>
      </c>
      <c r="AG69" s="6" t="n">
        <v>0.731275401311664</v>
      </c>
      <c r="AH69" s="6" t="n">
        <v>1.183518843337287</v>
      </c>
    </row>
    <row r="70">
      <c r="A70" s="6" t="inlineStr">
        <is>
          <t>E160</t>
        </is>
      </c>
      <c r="B70" s="6" t="n">
        <v>0.048193444411011</v>
      </c>
      <c r="C70" s="6" t="inlineStr">
        <is>
          <t>A</t>
        </is>
      </c>
      <c r="D70" s="6" t="n">
        <v>0.7435076313343799</v>
      </c>
      <c r="E70" s="6" t="n">
        <v>0.0790757206680834</v>
      </c>
      <c r="F70" s="6" t="n">
        <v>0.2292208617194089</v>
      </c>
      <c r="G70" s="6" t="n">
        <v>69</v>
      </c>
      <c r="H70" s="6" t="n">
        <v>48</v>
      </c>
      <c r="I70" s="6" t="inlineStr">
        <is>
          <t>***钢结构工程有限公司</t>
        </is>
      </c>
      <c r="J70" s="6" t="b">
        <v>0</v>
      </c>
      <c r="K70" s="6" t="inlineStr">
        <is>
          <t>其他</t>
        </is>
      </c>
      <c r="L70" s="6" t="n">
        <v>0.3</v>
      </c>
      <c r="M70" s="6" t="n">
        <v>1</v>
      </c>
      <c r="N70" s="6" t="n">
        <v>0.048193444411011</v>
      </c>
      <c r="O70" s="6" t="inlineStr">
        <is>
          <t>A</t>
        </is>
      </c>
      <c r="P70" s="6" t="n">
        <v>100</v>
      </c>
      <c r="Q70" s="6" t="n">
        <v>0.1025</v>
      </c>
      <c r="R70" s="6" t="n">
        <v>0.731275401311664</v>
      </c>
      <c r="S70" s="6" t="n">
        <v>0.01172824468219385</v>
      </c>
      <c r="T70" s="6" t="inlineStr"/>
      <c r="U70" s="6" t="n">
        <v>0.268724598688336</v>
      </c>
      <c r="V70" s="6" t="n">
        <v>26.8724598688336</v>
      </c>
      <c r="W70" s="6" t="n">
        <v>10.25</v>
      </c>
      <c r="X70" s="6" t="n">
        <v>2.621681805465678</v>
      </c>
      <c r="Y70" s="6" t="n">
        <v>0.7770458405254534</v>
      </c>
      <c r="Z70" s="6" t="n">
        <v>0.67181149672084</v>
      </c>
      <c r="AA70" s="9">
        <f>P70*(1-R70)*((1-B70)*Q70-B70*'模型说明与假设'!$B$7-'模型说明与假设'!$B$8)</f>
        <v/>
      </c>
      <c r="AB70" s="6" t="b">
        <v>0</v>
      </c>
      <c r="AC70" s="6" t="n">
        <v>0.048193444411011</v>
      </c>
      <c r="AD70" s="6" t="inlineStr">
        <is>
          <t>A</t>
        </is>
      </c>
      <c r="AE70" s="6" t="n">
        <v>100</v>
      </c>
      <c r="AF70" s="6" t="n">
        <v>0.1025</v>
      </c>
      <c r="AG70" s="6" t="n">
        <v>0.731275401311664</v>
      </c>
      <c r="AH70" s="6" t="n">
        <v>1.172824468219385</v>
      </c>
    </row>
    <row r="71">
      <c r="A71" s="6" t="inlineStr">
        <is>
          <t>E174</t>
        </is>
      </c>
      <c r="B71" s="6" t="n">
        <v>0.04367670193364248</v>
      </c>
      <c r="C71" s="6" t="inlineStr">
        <is>
          <t>A</t>
        </is>
      </c>
      <c r="D71" s="6" t="n">
        <v>0.7475679737520302</v>
      </c>
      <c r="E71" s="6" t="n">
        <v>0.07652646169874799</v>
      </c>
      <c r="F71" s="6" t="n">
        <v>0.2266302448261771</v>
      </c>
      <c r="G71" s="6" t="n">
        <v>70</v>
      </c>
      <c r="H71" s="6" t="n">
        <v>41</v>
      </c>
      <c r="I71" s="6" t="inlineStr">
        <is>
          <t>***工程技术有限公司</t>
        </is>
      </c>
      <c r="J71" s="6" t="b">
        <v>0</v>
      </c>
      <c r="K71" s="6" t="inlineStr">
        <is>
          <t>正面/轻影响</t>
        </is>
      </c>
      <c r="L71" s="6" t="n">
        <v>0.9</v>
      </c>
      <c r="M71" s="6" t="n">
        <v>0.9</v>
      </c>
      <c r="N71" s="6" t="n">
        <v>0.04829529335596871</v>
      </c>
      <c r="O71" s="6" t="inlineStr">
        <is>
          <t>A</t>
        </is>
      </c>
      <c r="P71" s="6" t="n">
        <v>100</v>
      </c>
      <c r="Q71" s="6" t="n">
        <v>0.1025</v>
      </c>
      <c r="R71" s="6" t="n">
        <v>0.731275401311664</v>
      </c>
      <c r="S71" s="6" t="n">
        <v>0.01258091094844447</v>
      </c>
      <c r="T71" s="6" t="inlineStr"/>
      <c r="U71" s="6" t="n">
        <v>0.268724598688336</v>
      </c>
      <c r="V71" s="6" t="n">
        <v>26.8724598688336</v>
      </c>
      <c r="W71" s="6" t="n">
        <v>10.25</v>
      </c>
      <c r="X71" s="6" t="n">
        <v>2.634122843514175</v>
      </c>
      <c r="Y71" s="6" t="n">
        <v>0.7042202519488886</v>
      </c>
      <c r="Z71" s="6" t="n">
        <v>0.67181149672084</v>
      </c>
      <c r="AA71" s="9">
        <f>P71*(1-R71)*((1-B71)*Q71-B71*'模型说明与假设'!$B$7-'模型说明与假设'!$B$8)</f>
        <v/>
      </c>
      <c r="AB71" s="6" t="b">
        <v>0</v>
      </c>
      <c r="AC71" s="6" t="n">
        <v>0.04829529335596871</v>
      </c>
      <c r="AD71" s="6" t="inlineStr">
        <is>
          <t>A</t>
        </is>
      </c>
      <c r="AE71" s="6" t="n">
        <v>100</v>
      </c>
      <c r="AF71" s="6" t="n">
        <v>0.1025</v>
      </c>
      <c r="AG71" s="6" t="n">
        <v>0.731275401311664</v>
      </c>
      <c r="AH71" s="6" t="n">
        <v>1.170901773709929</v>
      </c>
    </row>
    <row r="72">
      <c r="A72" s="6" t="inlineStr">
        <is>
          <t>E170</t>
        </is>
      </c>
      <c r="B72" s="6" t="n">
        <v>0.05618254079863281</v>
      </c>
      <c r="C72" s="6" t="inlineStr">
        <is>
          <t>A</t>
        </is>
      </c>
      <c r="D72" s="6" t="n">
        <v>0.7100355997091671</v>
      </c>
      <c r="E72" s="6" t="n">
        <v>0.08978738474104721</v>
      </c>
      <c r="F72" s="6" t="n">
        <v>0.2198622986372947</v>
      </c>
      <c r="G72" s="6" t="n">
        <v>71</v>
      </c>
      <c r="H72" s="6" t="n">
        <v>100</v>
      </c>
      <c r="I72" s="6" t="inlineStr">
        <is>
          <t>***建筑劳务有限公司</t>
        </is>
      </c>
      <c r="J72" s="6" t="b">
        <v>0</v>
      </c>
      <c r="K72" s="6" t="inlineStr">
        <is>
          <t>中度负面</t>
        </is>
      </c>
      <c r="L72" s="6" t="n">
        <v>0.9</v>
      </c>
      <c r="M72" s="6" t="n">
        <v>1.15</v>
      </c>
      <c r="N72" s="6" t="n">
        <v>0.04921503885906406</v>
      </c>
      <c r="O72" s="6" t="inlineStr">
        <is>
          <t>A</t>
        </is>
      </c>
      <c r="P72" s="6" t="n">
        <v>100</v>
      </c>
      <c r="Q72" s="6" t="n">
        <v>0.1225</v>
      </c>
      <c r="R72" s="6" t="n">
        <v>0.81480900767149</v>
      </c>
      <c r="S72" s="6" t="n">
        <v>0.01053887015375885</v>
      </c>
      <c r="T72" s="6" t="inlineStr"/>
      <c r="U72" s="6" t="n">
        <v>0.18519099232851</v>
      </c>
      <c r="V72" s="6" t="n">
        <v>18.519099232851</v>
      </c>
      <c r="W72" s="6" t="n">
        <v>12.25</v>
      </c>
      <c r="X72" s="6" t="n">
        <v>2.141134525119309</v>
      </c>
      <c r="Y72" s="6" t="n">
        <v>0.6242700289221484</v>
      </c>
      <c r="Z72" s="6" t="n">
        <v>0.462977480821275</v>
      </c>
      <c r="AA72" s="9">
        <f>P72*(1-R72)*((1-B72)*Q72-B72*'模型说明与假设'!$B$7-'模型说明与假设'!$B$8)</f>
        <v/>
      </c>
      <c r="AB72" s="6" t="b">
        <v>0</v>
      </c>
      <c r="AC72" s="6" t="n">
        <v>0.04921503885906406</v>
      </c>
      <c r="AD72" s="6" t="inlineStr">
        <is>
          <t>A</t>
        </is>
      </c>
      <c r="AE72" s="6" t="n">
        <v>100</v>
      </c>
      <c r="AF72" s="6" t="n">
        <v>0.1025</v>
      </c>
      <c r="AG72" s="6" t="n">
        <v>0.731275401311664</v>
      </c>
      <c r="AH72" s="6" t="n">
        <v>1.153538907264596</v>
      </c>
    </row>
    <row r="73">
      <c r="A73" s="6" t="inlineStr">
        <is>
          <t>E259</t>
        </is>
      </c>
      <c r="B73" s="6" t="n">
        <v>0.04952850396508304</v>
      </c>
      <c r="C73" s="6" t="inlineStr">
        <is>
          <t>A</t>
        </is>
      </c>
      <c r="D73" s="6" t="n">
        <v>0.740157099042709</v>
      </c>
      <c r="E73" s="6" t="n">
        <v>0.07920802621131805</v>
      </c>
      <c r="F73" s="6" t="n">
        <v>0.2256224152573794</v>
      </c>
      <c r="G73" s="6" t="n">
        <v>72</v>
      </c>
      <c r="H73" s="6" t="n">
        <v>52</v>
      </c>
      <c r="I73" s="6" t="inlineStr">
        <is>
          <t>***文化传媒有限公司</t>
        </is>
      </c>
      <c r="J73" s="6" t="b">
        <v>0</v>
      </c>
      <c r="K73" s="6" t="inlineStr">
        <is>
          <t>其他</t>
        </is>
      </c>
      <c r="L73" s="6" t="n">
        <v>0.3</v>
      </c>
      <c r="M73" s="6" t="n">
        <v>1</v>
      </c>
      <c r="N73" s="6" t="n">
        <v>0.04952850396508304</v>
      </c>
      <c r="O73" s="6" t="inlineStr">
        <is>
          <t>A</t>
        </is>
      </c>
      <c r="P73" s="6" t="n">
        <v>100</v>
      </c>
      <c r="Q73" s="6" t="n">
        <v>0.1025</v>
      </c>
      <c r="R73" s="6" t="n">
        <v>0.731275401311664</v>
      </c>
      <c r="S73" s="6" t="n">
        <v>0.01147621343381149</v>
      </c>
      <c r="T73" s="6" t="inlineStr"/>
      <c r="U73" s="6" t="n">
        <v>0.268724598688336</v>
      </c>
      <c r="V73" s="6" t="n">
        <v>26.8724598688336</v>
      </c>
      <c r="W73" s="6" t="n">
        <v>10.25</v>
      </c>
      <c r="X73" s="6" t="n">
        <v>2.618004481201025</v>
      </c>
      <c r="Y73" s="6" t="n">
        <v>0.7985716410990358</v>
      </c>
      <c r="Z73" s="6" t="n">
        <v>0.67181149672084</v>
      </c>
      <c r="AA73" s="9">
        <f>P73*(1-R73)*((1-B73)*Q73-B73*'模型说明与假设'!$B$7-'模型说明与假设'!$B$8)</f>
        <v/>
      </c>
      <c r="AB73" s="6" t="b">
        <v>0</v>
      </c>
      <c r="AC73" s="6" t="n">
        <v>0.04952850396508304</v>
      </c>
      <c r="AD73" s="6" t="inlineStr">
        <is>
          <t>A</t>
        </is>
      </c>
      <c r="AE73" s="6" t="n">
        <v>100</v>
      </c>
      <c r="AF73" s="6" t="n">
        <v>0.1025</v>
      </c>
      <c r="AG73" s="6" t="n">
        <v>0.731275401311664</v>
      </c>
      <c r="AH73" s="6" t="n">
        <v>1.14762134338115</v>
      </c>
    </row>
    <row r="74">
      <c r="A74" s="6" t="inlineStr">
        <is>
          <t>E168</t>
        </is>
      </c>
      <c r="B74" s="6" t="n">
        <v>0.0572212317011978</v>
      </c>
      <c r="C74" s="6" t="inlineStr">
        <is>
          <t>A</t>
        </is>
      </c>
      <c r="D74" s="6" t="n">
        <v>0.6938974780821543</v>
      </c>
      <c r="E74" s="6" t="n">
        <v>0.1005258702552812</v>
      </c>
      <c r="F74" s="6" t="n">
        <v>0.2278800168489784</v>
      </c>
      <c r="G74" s="6" t="n">
        <v>73</v>
      </c>
      <c r="H74" s="6" t="n">
        <v>122</v>
      </c>
      <c r="I74" s="6" t="inlineStr">
        <is>
          <t>***建材有限公司</t>
        </is>
      </c>
      <c r="J74" s="6" t="b">
        <v>0</v>
      </c>
      <c r="K74" s="6" t="inlineStr">
        <is>
          <t>中度负面</t>
        </is>
      </c>
      <c r="L74" s="6" t="n">
        <v>0.9</v>
      </c>
      <c r="M74" s="6" t="n">
        <v>1.15</v>
      </c>
      <c r="N74" s="6" t="n">
        <v>0.05013175812459406</v>
      </c>
      <c r="O74" s="6" t="inlineStr">
        <is>
          <t>A</t>
        </is>
      </c>
      <c r="P74" s="6" t="n">
        <v>100</v>
      </c>
      <c r="Q74" s="6" t="n">
        <v>0.1225</v>
      </c>
      <c r="R74" s="6" t="n">
        <v>0.81480900767149</v>
      </c>
      <c r="S74" s="6" t="n">
        <v>0.01039989280000404</v>
      </c>
      <c r="T74" s="6" t="inlineStr"/>
      <c r="U74" s="6" t="n">
        <v>0.18519099232851</v>
      </c>
      <c r="V74" s="6" t="n">
        <v>18.519099232851</v>
      </c>
      <c r="W74" s="6" t="n">
        <v>12.25</v>
      </c>
      <c r="X74" s="6" t="n">
        <v>2.138778161681943</v>
      </c>
      <c r="Y74" s="6" t="n">
        <v>0.6358114008602648</v>
      </c>
      <c r="Z74" s="6" t="n">
        <v>0.462977480821275</v>
      </c>
      <c r="AA74" s="9">
        <f>P74*(1-R74)*((1-B74)*Q74-B74*'模型说明与假设'!$B$7-'模型说明与假设'!$B$8)</f>
        <v/>
      </c>
      <c r="AB74" s="6" t="b">
        <v>0</v>
      </c>
      <c r="AC74" s="6" t="n">
        <v>0.05013175812459406</v>
      </c>
      <c r="AD74" s="6" t="inlineStr">
        <is>
          <t>A</t>
        </is>
      </c>
      <c r="AE74" s="6" t="n">
        <v>100</v>
      </c>
      <c r="AF74" s="6" t="n">
        <v>0.1025</v>
      </c>
      <c r="AG74" s="6" t="n">
        <v>0.731275401311664</v>
      </c>
      <c r="AH74" s="6" t="n">
        <v>1.136233169838652</v>
      </c>
    </row>
    <row r="75">
      <c r="A75" s="6" t="inlineStr">
        <is>
          <t>E241</t>
        </is>
      </c>
      <c r="B75" s="6" t="n">
        <v>0.05092729558061004</v>
      </c>
      <c r="C75" s="6" t="inlineStr">
        <is>
          <t>A</t>
        </is>
      </c>
      <c r="D75" s="6" t="n">
        <v>0.7229955745510646</v>
      </c>
      <c r="E75" s="6" t="n">
        <v>0.08799162519835205</v>
      </c>
      <c r="F75" s="6" t="n">
        <v>0.2296625965915915</v>
      </c>
      <c r="G75" s="6" t="n">
        <v>74</v>
      </c>
      <c r="H75" s="6" t="n">
        <v>76</v>
      </c>
      <c r="I75" s="6" t="inlineStr">
        <is>
          <t xml:space="preserve">个体经营E241 </t>
        </is>
      </c>
      <c r="J75" s="6" t="b">
        <v>0</v>
      </c>
      <c r="K75" s="6" t="inlineStr">
        <is>
          <t>未知</t>
        </is>
      </c>
      <c r="L75" s="6" t="n">
        <v>0</v>
      </c>
      <c r="M75" s="6" t="n">
        <v>1</v>
      </c>
      <c r="N75" s="6" t="n">
        <v>0.05092729558061004</v>
      </c>
      <c r="O75" s="6" t="inlineStr">
        <is>
          <t>A</t>
        </is>
      </c>
      <c r="P75" s="6" t="n">
        <v>100</v>
      </c>
      <c r="Q75" s="6" t="n">
        <v>0.1225</v>
      </c>
      <c r="R75" s="6" t="n">
        <v>0.81480900767149</v>
      </c>
      <c r="S75" s="6" t="n">
        <v>0.0112420245492868</v>
      </c>
      <c r="T75" s="6" t="inlineStr"/>
      <c r="U75" s="6" t="n">
        <v>0.18519099232851</v>
      </c>
      <c r="V75" s="6" t="n">
        <v>18.519099232851</v>
      </c>
      <c r="W75" s="6" t="n">
        <v>12.25</v>
      </c>
      <c r="X75" s="6" t="n">
        <v>2.153056520060786</v>
      </c>
      <c r="Y75" s="6" t="n">
        <v>0.5658765843108309</v>
      </c>
      <c r="Z75" s="6" t="n">
        <v>0.462977480821275</v>
      </c>
      <c r="AA75" s="9">
        <f>P75*(1-R75)*((1-B75)*Q75-B75*'模型说明与假设'!$B$7-'模型说明与假设'!$B$8)</f>
        <v/>
      </c>
      <c r="AB75" s="6" t="b">
        <v>0</v>
      </c>
      <c r="AC75" s="6" t="n">
        <v>0.05092729558061004</v>
      </c>
      <c r="AD75" s="6" t="inlineStr">
        <is>
          <t>A</t>
        </is>
      </c>
      <c r="AE75" s="6" t="n">
        <v>100</v>
      </c>
      <c r="AF75" s="6" t="n">
        <v>0.1225</v>
      </c>
      <c r="AG75" s="6" t="n">
        <v>0.81480900767149</v>
      </c>
      <c r="AH75" s="6" t="n">
        <v>1.12420245492868</v>
      </c>
    </row>
    <row r="76">
      <c r="A76" s="6" t="inlineStr">
        <is>
          <t>E146</t>
        </is>
      </c>
      <c r="B76" s="6" t="n">
        <v>0.05856778806439018</v>
      </c>
      <c r="C76" s="6" t="inlineStr">
        <is>
          <t>A</t>
        </is>
      </c>
      <c r="D76" s="6" t="n">
        <v>0.7285199937694821</v>
      </c>
      <c r="E76" s="6" t="n">
        <v>0.08286386155161456</v>
      </c>
      <c r="F76" s="6" t="n">
        <v>0.2223662093555356</v>
      </c>
      <c r="G76" s="6" t="n">
        <v>75</v>
      </c>
      <c r="H76" s="6" t="n">
        <v>67</v>
      </c>
      <c r="I76" s="6" t="inlineStr">
        <is>
          <t>***基础建设工程有限公司</t>
        </is>
      </c>
      <c r="J76" s="6" t="b">
        <v>0</v>
      </c>
      <c r="K76" s="6" t="inlineStr">
        <is>
          <t>中度负面</t>
        </is>
      </c>
      <c r="L76" s="6" t="n">
        <v>0.9</v>
      </c>
      <c r="M76" s="6" t="n">
        <v>1.15</v>
      </c>
      <c r="N76" s="6" t="n">
        <v>0.05132056334433443</v>
      </c>
      <c r="O76" s="6" t="inlineStr">
        <is>
          <t>A</t>
        </is>
      </c>
      <c r="P76" s="6" t="n">
        <v>100</v>
      </c>
      <c r="Q76" s="6" t="n">
        <v>0.1225</v>
      </c>
      <c r="R76" s="6" t="n">
        <v>0.81480900767149</v>
      </c>
      <c r="S76" s="6" t="n">
        <v>0.01021972289616059</v>
      </c>
      <c r="T76" s="6" t="inlineStr"/>
      <c r="U76" s="6" t="n">
        <v>0.18519099232851</v>
      </c>
      <c r="V76" s="6" t="n">
        <v>18.519099232851</v>
      </c>
      <c r="W76" s="6" t="n">
        <v>12.25</v>
      </c>
      <c r="X76" s="6" t="n">
        <v>2.135723377845151</v>
      </c>
      <c r="Y76" s="6" t="n">
        <v>0.6507736074078168</v>
      </c>
      <c r="Z76" s="6" t="n">
        <v>0.462977480821275</v>
      </c>
      <c r="AA76" s="9">
        <f>P76*(1-R76)*((1-B76)*Q76-B76*'模型说明与假设'!$B$7-'模型说明与假设'!$B$8)</f>
        <v/>
      </c>
      <c r="AB76" s="6" t="b">
        <v>0</v>
      </c>
      <c r="AC76" s="6" t="n">
        <v>0.05132056334433443</v>
      </c>
      <c r="AD76" s="6" t="inlineStr">
        <is>
          <t>A</t>
        </is>
      </c>
      <c r="AE76" s="6" t="n">
        <v>100</v>
      </c>
      <c r="AF76" s="6" t="n">
        <v>0.1225</v>
      </c>
      <c r="AG76" s="6" t="n">
        <v>0.81480900767149</v>
      </c>
      <c r="AH76" s="6" t="n">
        <v>1.118940512902951</v>
      </c>
    </row>
    <row r="77">
      <c r="A77" s="6" t="inlineStr">
        <is>
          <t>E182</t>
        </is>
      </c>
      <c r="B77" s="6" t="n">
        <v>0.04732747914035056</v>
      </c>
      <c r="C77" s="6" t="inlineStr">
        <is>
          <t>A</t>
        </is>
      </c>
      <c r="D77" s="6" t="n">
        <v>0.7247521524026722</v>
      </c>
      <c r="E77" s="6" t="n">
        <v>0.08498377226936039</v>
      </c>
      <c r="F77" s="6" t="n">
        <v>0.2237698583627924</v>
      </c>
      <c r="G77" s="6" t="n">
        <v>76</v>
      </c>
      <c r="H77" s="6" t="n">
        <v>74</v>
      </c>
      <c r="I77" s="6" t="inlineStr">
        <is>
          <t>***新材料科技有限公司</t>
        </is>
      </c>
      <c r="J77" s="6" t="b">
        <v>0</v>
      </c>
      <c r="K77" s="6" t="inlineStr">
        <is>
          <t>正面/轻影响</t>
        </is>
      </c>
      <c r="L77" s="6" t="n">
        <v>0.9</v>
      </c>
      <c r="M77" s="6" t="n">
        <v>0.9</v>
      </c>
      <c r="N77" s="6" t="n">
        <v>0.05231100482376645</v>
      </c>
      <c r="O77" s="6" t="inlineStr">
        <is>
          <t>A</t>
        </is>
      </c>
      <c r="P77" s="6" t="n">
        <v>100</v>
      </c>
      <c r="Q77" s="6" t="n">
        <v>0.1025</v>
      </c>
      <c r="R77" s="6" t="n">
        <v>0.731275401311664</v>
      </c>
      <c r="S77" s="6" t="n">
        <v>0.01189172076650383</v>
      </c>
      <c r="T77" s="6" t="inlineStr"/>
      <c r="U77" s="6" t="n">
        <v>0.268724598688336</v>
      </c>
      <c r="V77" s="6" t="n">
        <v>26.8724598688336</v>
      </c>
      <c r="W77" s="6" t="n">
        <v>10.25</v>
      </c>
      <c r="X77" s="6" t="n">
        <v>2.624067043706501</v>
      </c>
      <c r="Y77" s="6" t="n">
        <v>0.7630834703352778</v>
      </c>
      <c r="Z77" s="6" t="n">
        <v>0.67181149672084</v>
      </c>
      <c r="AA77" s="9">
        <f>P77*(1-R77)*((1-B77)*Q77-B77*'模型说明与假设'!$B$7-'模型说明与假设'!$B$8)</f>
        <v/>
      </c>
      <c r="AB77" s="6" t="b">
        <v>0</v>
      </c>
      <c r="AC77" s="6" t="n">
        <v>0.05231100482376645</v>
      </c>
      <c r="AD77" s="6" t="inlineStr">
        <is>
          <t>A</t>
        </is>
      </c>
      <c r="AE77" s="6" t="n">
        <v>100</v>
      </c>
      <c r="AF77" s="6" t="n">
        <v>0.1225</v>
      </c>
      <c r="AG77" s="6" t="n">
        <v>0.81480900767149</v>
      </c>
      <c r="AH77" s="6" t="n">
        <v>1.105688357182654</v>
      </c>
    </row>
    <row r="78">
      <c r="A78" s="6" t="inlineStr">
        <is>
          <t>E224</t>
        </is>
      </c>
      <c r="B78" s="6" t="n">
        <v>0.05334392412449664</v>
      </c>
      <c r="C78" s="6" t="inlineStr">
        <is>
          <t>A</t>
        </is>
      </c>
      <c r="D78" s="6" t="n">
        <v>0.5662366275906696</v>
      </c>
      <c r="E78" s="6" t="n">
        <v>0.1478961106752267</v>
      </c>
      <c r="F78" s="6" t="n">
        <v>0.1930642379446685</v>
      </c>
      <c r="G78" s="6" t="n">
        <v>77</v>
      </c>
      <c r="H78" s="6" t="n">
        <v>251</v>
      </c>
      <c r="I78" s="6" t="inlineStr">
        <is>
          <t>***纸业有限公司</t>
        </is>
      </c>
      <c r="J78" s="6" t="b">
        <v>0</v>
      </c>
      <c r="K78" s="6" t="inlineStr">
        <is>
          <t>其他</t>
        </is>
      </c>
      <c r="L78" s="6" t="n">
        <v>0.3</v>
      </c>
      <c r="M78" s="6" t="n">
        <v>1</v>
      </c>
      <c r="N78" s="6" t="n">
        <v>0.05334392412449664</v>
      </c>
      <c r="O78" s="6" t="inlineStr">
        <is>
          <t>A</t>
        </is>
      </c>
      <c r="P78" s="6" t="n">
        <v>100</v>
      </c>
      <c r="Q78" s="6" t="n">
        <v>0.1225</v>
      </c>
      <c r="R78" s="6" t="n">
        <v>0.81480900767149</v>
      </c>
      <c r="S78" s="6" t="n">
        <v>0.01091867846123661</v>
      </c>
      <c r="T78" s="6" t="inlineStr"/>
      <c r="U78" s="6" t="n">
        <v>0.18519099232851</v>
      </c>
      <c r="V78" s="6" t="n">
        <v>18.519099232851</v>
      </c>
      <c r="W78" s="6" t="n">
        <v>12.25</v>
      </c>
      <c r="X78" s="6" t="n">
        <v>2.147574181543672</v>
      </c>
      <c r="Y78" s="6" t="n">
        <v>0.5927288545987365</v>
      </c>
      <c r="Z78" s="6" t="n">
        <v>0.462977480821275</v>
      </c>
      <c r="AA78" s="9">
        <f>P78*(1-R78)*((1-B78)*Q78-B78*'模型说明与假设'!$B$7-'模型说明与假设'!$B$8)</f>
        <v/>
      </c>
      <c r="AB78" s="6" t="b">
        <v>0</v>
      </c>
      <c r="AC78" s="6" t="n">
        <v>0.05334392412449664</v>
      </c>
      <c r="AD78" s="6" t="inlineStr">
        <is>
          <t>A</t>
        </is>
      </c>
      <c r="AE78" s="6" t="n">
        <v>100</v>
      </c>
      <c r="AF78" s="6" t="n">
        <v>0.1225</v>
      </c>
      <c r="AG78" s="6" t="n">
        <v>0.81480900767149</v>
      </c>
      <c r="AH78" s="6" t="n">
        <v>1.09186784612366</v>
      </c>
    </row>
    <row r="79">
      <c r="A79" s="6" t="inlineStr">
        <is>
          <t>E190</t>
        </is>
      </c>
      <c r="B79" s="6" t="n">
        <v>0.05408750544095667</v>
      </c>
      <c r="C79" s="6" t="inlineStr">
        <is>
          <t>A</t>
        </is>
      </c>
      <c r="D79" s="6" t="n">
        <v>0.6850003415947683</v>
      </c>
      <c r="E79" s="6" t="n">
        <v>0.1014964691442315</v>
      </c>
      <c r="F79" s="6" t="n">
        <v>0.2207148934270296</v>
      </c>
      <c r="G79" s="6" t="n">
        <v>78</v>
      </c>
      <c r="H79" s="6" t="n">
        <v>138</v>
      </c>
      <c r="I79" s="6" t="inlineStr">
        <is>
          <t>***劳务有限公司</t>
        </is>
      </c>
      <c r="J79" s="6" t="b">
        <v>0</v>
      </c>
      <c r="K79" s="6" t="inlineStr">
        <is>
          <t>其他</t>
        </is>
      </c>
      <c r="L79" s="6" t="n">
        <v>0.3</v>
      </c>
      <c r="M79" s="6" t="n">
        <v>1</v>
      </c>
      <c r="N79" s="6" t="n">
        <v>0.05408750544095667</v>
      </c>
      <c r="O79" s="6" t="inlineStr">
        <is>
          <t>A</t>
        </is>
      </c>
      <c r="P79" s="6" t="n">
        <v>100</v>
      </c>
      <c r="Q79" s="6" t="n">
        <v>0.1225</v>
      </c>
      <c r="R79" s="6" t="n">
        <v>0.81480900767149</v>
      </c>
      <c r="S79" s="6" t="n">
        <v>0.01081918691528396</v>
      </c>
      <c r="T79" s="6" t="inlineStr"/>
      <c r="U79" s="6" t="n">
        <v>0.18519099232851</v>
      </c>
      <c r="V79" s="6" t="n">
        <v>18.519099232851</v>
      </c>
      <c r="W79" s="6" t="n">
        <v>12.25</v>
      </c>
      <c r="X79" s="6" t="n">
        <v>2.145887300660738</v>
      </c>
      <c r="Y79" s="6" t="n">
        <v>0.6009911283110669</v>
      </c>
      <c r="Z79" s="6" t="n">
        <v>0.462977480821275</v>
      </c>
      <c r="AA79" s="9">
        <f>P79*(1-R79)*((1-B79)*Q79-B79*'模型说明与假设'!$B$7-'模型说明与假设'!$B$8)</f>
        <v/>
      </c>
      <c r="AB79" s="6" t="b">
        <v>0</v>
      </c>
      <c r="AC79" s="6" t="n">
        <v>0.05408750544095667</v>
      </c>
      <c r="AD79" s="6" t="inlineStr">
        <is>
          <t>A</t>
        </is>
      </c>
      <c r="AE79" s="6" t="n">
        <v>100</v>
      </c>
      <c r="AF79" s="6" t="n">
        <v>0.1225</v>
      </c>
      <c r="AG79" s="6" t="n">
        <v>0.81480900767149</v>
      </c>
      <c r="AH79" s="6" t="n">
        <v>1.081918691528396</v>
      </c>
    </row>
    <row r="80">
      <c r="A80" s="6" t="inlineStr">
        <is>
          <t>E191</t>
        </is>
      </c>
      <c r="B80" s="6" t="n">
        <v>0.06205554700166793</v>
      </c>
      <c r="C80" s="6" t="inlineStr">
        <is>
          <t>A</t>
        </is>
      </c>
      <c r="D80" s="6" t="n">
        <v>0.5524736511665024</v>
      </c>
      <c r="E80" s="6" t="n">
        <v>0.1528595144794355</v>
      </c>
      <c r="F80" s="6" t="n">
        <v>0.1887058813411064</v>
      </c>
      <c r="G80" s="6" t="n">
        <v>79</v>
      </c>
      <c r="H80" s="6" t="n">
        <v>260</v>
      </c>
      <c r="I80" s="6" t="inlineStr">
        <is>
          <t>***商贸有限责任公司</t>
        </is>
      </c>
      <c r="J80" s="6" t="b">
        <v>0</v>
      </c>
      <c r="K80" s="6" t="inlineStr">
        <is>
          <t>中度负面</t>
        </is>
      </c>
      <c r="L80" s="6" t="n">
        <v>0.9</v>
      </c>
      <c r="M80" s="6" t="n">
        <v>1.15</v>
      </c>
      <c r="N80" s="6" t="n">
        <v>0.05440168342178302</v>
      </c>
      <c r="O80" s="6" t="inlineStr">
        <is>
          <t>A</t>
        </is>
      </c>
      <c r="P80" s="6" t="n">
        <v>100</v>
      </c>
      <c r="Q80" s="6" t="n">
        <v>0.1225</v>
      </c>
      <c r="R80" s="6" t="n">
        <v>0.81480900767149</v>
      </c>
      <c r="S80" s="6" t="n">
        <v>0.009753059034524194</v>
      </c>
      <c r="T80" s="6" t="inlineStr"/>
      <c r="U80" s="6" t="n">
        <v>0.18519099232851</v>
      </c>
      <c r="V80" s="6" t="n">
        <v>18.519099232851</v>
      </c>
      <c r="W80" s="6" t="n">
        <v>12.25</v>
      </c>
      <c r="X80" s="6" t="n">
        <v>2.127811083997337</v>
      </c>
      <c r="Y80" s="6" t="n">
        <v>0.6895276997236425</v>
      </c>
      <c r="Z80" s="6" t="n">
        <v>0.462977480821275</v>
      </c>
      <c r="AA80" s="9">
        <f>P80*(1-R80)*((1-B80)*Q80-B80*'模型说明与假设'!$B$7-'模型说明与假设'!$B$8)</f>
        <v/>
      </c>
      <c r="AB80" s="6" t="b">
        <v>0</v>
      </c>
      <c r="AC80" s="6" t="n">
        <v>0.05440168342178302</v>
      </c>
      <c r="AD80" s="6" t="inlineStr">
        <is>
          <t>A</t>
        </is>
      </c>
      <c r="AE80" s="6" t="n">
        <v>100</v>
      </c>
      <c r="AF80" s="6" t="n">
        <v>0.1225</v>
      </c>
      <c r="AG80" s="6" t="n">
        <v>0.81480900767149</v>
      </c>
      <c r="AH80" s="6" t="n">
        <v>1.077714974688723</v>
      </c>
    </row>
    <row r="81">
      <c r="A81" s="6" t="inlineStr">
        <is>
          <t>E161</t>
        </is>
      </c>
      <c r="B81" s="6" t="n">
        <v>0.06267062718815748</v>
      </c>
      <c r="C81" s="6" t="inlineStr">
        <is>
          <t>A</t>
        </is>
      </c>
      <c r="D81" s="6" t="n">
        <v>0.7147235263925089</v>
      </c>
      <c r="E81" s="6" t="n">
        <v>0.09198866557017205</v>
      </c>
      <c r="F81" s="6" t="n">
        <v>0.2304657745276059</v>
      </c>
      <c r="G81" s="6" t="n">
        <v>80</v>
      </c>
      <c r="H81" s="6" t="n">
        <v>91</v>
      </c>
      <c r="I81" s="6" t="inlineStr">
        <is>
          <t>***建筑劳务有限责任公司</t>
        </is>
      </c>
      <c r="J81" s="6" t="b">
        <v>0</v>
      </c>
      <c r="K81" s="6" t="inlineStr">
        <is>
          <t>中度负面</t>
        </is>
      </c>
      <c r="L81" s="6" t="n">
        <v>0.9</v>
      </c>
      <c r="M81" s="6" t="n">
        <v>1.15</v>
      </c>
      <c r="N81" s="6" t="n">
        <v>0.05494534440644405</v>
      </c>
      <c r="O81" s="6" t="inlineStr">
        <is>
          <t>A</t>
        </is>
      </c>
      <c r="P81" s="6" t="n">
        <v>100</v>
      </c>
      <c r="Q81" s="6" t="n">
        <v>0.1225</v>
      </c>
      <c r="R81" s="6" t="n">
        <v>0.81480900767149</v>
      </c>
      <c r="S81" s="6" t="n">
        <v>0.009670761002978671</v>
      </c>
      <c r="T81" s="6" t="inlineStr"/>
      <c r="U81" s="6" t="n">
        <v>0.18519099232851</v>
      </c>
      <c r="V81" s="6" t="n">
        <v>18.519099232851</v>
      </c>
      <c r="W81" s="6" t="n">
        <v>12.25</v>
      </c>
      <c r="X81" s="6" t="n">
        <v>2.126415719448641</v>
      </c>
      <c r="Y81" s="6" t="n">
        <v>0.6963621383294988</v>
      </c>
      <c r="Z81" s="6" t="n">
        <v>0.462977480821275</v>
      </c>
      <c r="AA81" s="9">
        <f>P81*(1-R81)*((1-B81)*Q81-B81*'模型说明与假设'!$B$7-'模型说明与假设'!$B$8)</f>
        <v/>
      </c>
      <c r="AB81" s="6" t="b">
        <v>0</v>
      </c>
      <c r="AC81" s="6" t="n">
        <v>0.05494534440644405</v>
      </c>
      <c r="AD81" s="6" t="inlineStr">
        <is>
          <t>A</t>
        </is>
      </c>
      <c r="AE81" s="6" t="n">
        <v>100</v>
      </c>
      <c r="AF81" s="6" t="n">
        <v>0.1225</v>
      </c>
      <c r="AG81" s="6" t="n">
        <v>0.81480900767149</v>
      </c>
      <c r="AH81" s="6" t="n">
        <v>1.070440763968157</v>
      </c>
    </row>
    <row r="82">
      <c r="A82" s="6" t="inlineStr">
        <is>
          <t>E148</t>
        </is>
      </c>
      <c r="B82" s="6" t="n">
        <v>0.06386591248397432</v>
      </c>
      <c r="C82" s="6" t="inlineStr">
        <is>
          <t>A</t>
        </is>
      </c>
      <c r="D82" s="6" t="n">
        <v>0.7380191542414986</v>
      </c>
      <c r="E82" s="6" t="n">
        <v>0.07927423829709121</v>
      </c>
      <c r="F82" s="6" t="n">
        <v>0.2233213124103357</v>
      </c>
      <c r="G82" s="6" t="n">
        <v>81</v>
      </c>
      <c r="H82" s="6" t="n">
        <v>54</v>
      </c>
      <c r="I82" s="6" t="inlineStr">
        <is>
          <t>***商贸有限公司</t>
        </is>
      </c>
      <c r="J82" s="6" t="b">
        <v>0</v>
      </c>
      <c r="K82" s="6" t="inlineStr">
        <is>
          <t>中度负面</t>
        </is>
      </c>
      <c r="L82" s="6" t="n">
        <v>0.9</v>
      </c>
      <c r="M82" s="6" t="n">
        <v>1.15</v>
      </c>
      <c r="N82" s="6" t="n">
        <v>0.05600209234194682</v>
      </c>
      <c r="O82" s="6" t="inlineStr">
        <is>
          <t>A</t>
        </is>
      </c>
      <c r="P82" s="6" t="n">
        <v>100</v>
      </c>
      <c r="Q82" s="6" t="n">
        <v>0.1225</v>
      </c>
      <c r="R82" s="6" t="n">
        <v>0.81480900767149</v>
      </c>
      <c r="S82" s="6" t="n">
        <v>0.009510831242368997</v>
      </c>
      <c r="T82" s="6" t="inlineStr"/>
      <c r="U82" s="6" t="n">
        <v>0.18519099232851</v>
      </c>
      <c r="V82" s="6" t="n">
        <v>18.519099232851</v>
      </c>
      <c r="W82" s="6" t="n">
        <v>12.25</v>
      </c>
      <c r="X82" s="6" t="n">
        <v>2.123704107590553</v>
      </c>
      <c r="Y82" s="6" t="n">
        <v>0.7096435025323785</v>
      </c>
      <c r="Z82" s="6" t="n">
        <v>0.462977480821275</v>
      </c>
      <c r="AA82" s="9">
        <f>P82*(1-R82)*((1-B82)*Q82-B82*'模型说明与假设'!$B$7-'模型说明与假设'!$B$8)</f>
        <v/>
      </c>
      <c r="AB82" s="6" t="b">
        <v>0</v>
      </c>
      <c r="AC82" s="6" t="n">
        <v>0.05600209234194682</v>
      </c>
      <c r="AD82" s="6" t="inlineStr">
        <is>
          <t>A</t>
        </is>
      </c>
      <c r="AE82" s="6" t="n">
        <v>100</v>
      </c>
      <c r="AF82" s="6" t="n">
        <v>0.1225</v>
      </c>
      <c r="AG82" s="6" t="n">
        <v>0.81480900767149</v>
      </c>
      <c r="AH82" s="6" t="n">
        <v>1.056301424603638</v>
      </c>
    </row>
    <row r="83">
      <c r="A83" s="6" t="inlineStr">
        <is>
          <t>E223</t>
        </is>
      </c>
      <c r="B83" s="6" t="n">
        <v>0.05200481643992839</v>
      </c>
      <c r="C83" s="6" t="inlineStr">
        <is>
          <t>A</t>
        </is>
      </c>
      <c r="D83" s="6" t="n">
        <v>0.5913352462215083</v>
      </c>
      <c r="E83" s="6" t="n">
        <v>0.1386199827873743</v>
      </c>
      <c r="F83" s="6" t="n">
        <v>0.2005822153608675</v>
      </c>
      <c r="G83" s="6" t="n">
        <v>82</v>
      </c>
      <c r="H83" s="6" t="n">
        <v>230</v>
      </c>
      <c r="I83" s="6" t="inlineStr">
        <is>
          <t>***科技有限公司</t>
        </is>
      </c>
      <c r="J83" s="6" t="b">
        <v>0</v>
      </c>
      <c r="K83" s="6" t="inlineStr">
        <is>
          <t>正面/轻影响</t>
        </is>
      </c>
      <c r="L83" s="6" t="n">
        <v>0.9</v>
      </c>
      <c r="M83" s="6" t="n">
        <v>0.9</v>
      </c>
      <c r="N83" s="6" t="n">
        <v>0.05745115860464314</v>
      </c>
      <c r="O83" s="6" t="inlineStr">
        <is>
          <t>A</t>
        </is>
      </c>
      <c r="P83" s="6" t="n">
        <v>100</v>
      </c>
      <c r="Q83" s="6" t="n">
        <v>0.1225</v>
      </c>
      <c r="R83" s="6" t="n">
        <v>0.81480900767149</v>
      </c>
      <c r="S83" s="6" t="n">
        <v>0.0110978517282157</v>
      </c>
      <c r="T83" s="6" t="inlineStr"/>
      <c r="U83" s="6" t="n">
        <v>0.18519099232851</v>
      </c>
      <c r="V83" s="6" t="n">
        <v>18.519099232851</v>
      </c>
      <c r="W83" s="6" t="n">
        <v>12.25</v>
      </c>
      <c r="X83" s="6" t="n">
        <v>2.150612067385186</v>
      </c>
      <c r="Y83" s="6" t="n">
        <v>0.5778494137423409</v>
      </c>
      <c r="Z83" s="6" t="n">
        <v>0.462977480821275</v>
      </c>
      <c r="AA83" s="9">
        <f>P83*(1-R83)*((1-B83)*Q83-B83*'模型说明与假设'!$B$7-'模型说明与假设'!$B$8)</f>
        <v/>
      </c>
      <c r="AB83" s="6" t="b">
        <v>0</v>
      </c>
      <c r="AC83" s="6" t="n">
        <v>0.05745115860464314</v>
      </c>
      <c r="AD83" s="6" t="inlineStr">
        <is>
          <t>A</t>
        </is>
      </c>
      <c r="AE83" s="6" t="n">
        <v>100</v>
      </c>
      <c r="AF83" s="6" t="n">
        <v>0.1225</v>
      </c>
      <c r="AG83" s="6" t="n">
        <v>0.81480900767149</v>
      </c>
      <c r="AH83" s="6" t="n">
        <v>1.036912846720882</v>
      </c>
    </row>
    <row r="84">
      <c r="A84" s="6" t="inlineStr">
        <is>
          <t>E319</t>
        </is>
      </c>
      <c r="B84" s="6" t="n">
        <v>0.05829492048612162</v>
      </c>
      <c r="C84" s="6" t="inlineStr">
        <is>
          <t>A</t>
        </is>
      </c>
      <c r="D84" s="6" t="n">
        <v>0.6926825611213984</v>
      </c>
      <c r="E84" s="6" t="n">
        <v>0.09744790483498068</v>
      </c>
      <c r="F84" s="6" t="n">
        <v>0.2196441065737019</v>
      </c>
      <c r="G84" s="6" t="n">
        <v>83</v>
      </c>
      <c r="H84" s="6" t="n">
        <v>125</v>
      </c>
      <c r="I84" s="6" t="inlineStr">
        <is>
          <t xml:space="preserve">个体经营E319 </t>
        </is>
      </c>
      <c r="J84" s="6" t="b">
        <v>0</v>
      </c>
      <c r="K84" s="6" t="inlineStr">
        <is>
          <t>未知</t>
        </is>
      </c>
      <c r="L84" s="6" t="n">
        <v>0</v>
      </c>
      <c r="M84" s="6" t="n">
        <v>1</v>
      </c>
      <c r="N84" s="6" t="n">
        <v>0.05829492048612162</v>
      </c>
      <c r="O84" s="6" t="inlineStr">
        <is>
          <t>A</t>
        </is>
      </c>
      <c r="P84" s="6" t="n">
        <v>100</v>
      </c>
      <c r="Q84" s="6" t="n">
        <v>0.1225</v>
      </c>
      <c r="R84" s="6" t="n">
        <v>0.81480900767149</v>
      </c>
      <c r="S84" s="6" t="n">
        <v>0.01025623271237214</v>
      </c>
      <c r="T84" s="6" t="inlineStr"/>
      <c r="U84" s="6" t="n">
        <v>0.18519099232851</v>
      </c>
      <c r="V84" s="6" t="n">
        <v>18.519099232851</v>
      </c>
      <c r="W84" s="6" t="n">
        <v>12.25</v>
      </c>
      <c r="X84" s="6" t="n">
        <v>2.136342402410676</v>
      </c>
      <c r="Y84" s="6" t="n">
        <v>0.6477416503521868</v>
      </c>
      <c r="Z84" s="6" t="n">
        <v>0.462977480821275</v>
      </c>
      <c r="AA84" s="9">
        <f>P84*(1-R84)*((1-B84)*Q84-B84*'模型说明与假设'!$B$7-'模型说明与假设'!$B$8)</f>
        <v/>
      </c>
      <c r="AB84" s="6" t="b">
        <v>0</v>
      </c>
      <c r="AC84" s="6" t="n">
        <v>0.05829492048612162</v>
      </c>
      <c r="AD84" s="6" t="inlineStr">
        <is>
          <t>A</t>
        </is>
      </c>
      <c r="AE84" s="6" t="n">
        <v>100</v>
      </c>
      <c r="AF84" s="6" t="n">
        <v>0.1225</v>
      </c>
      <c r="AG84" s="6" t="n">
        <v>0.81480900767149</v>
      </c>
      <c r="AH84" s="6" t="n">
        <v>1.025623271237214</v>
      </c>
    </row>
    <row r="85">
      <c r="A85" s="6" t="inlineStr">
        <is>
          <t>E156</t>
        </is>
      </c>
      <c r="B85" s="6" t="n">
        <v>0.05841739293656564</v>
      </c>
      <c r="C85" s="6" t="inlineStr">
        <is>
          <t>A</t>
        </is>
      </c>
      <c r="D85" s="6" t="n">
        <v>0.6879524022275515</v>
      </c>
      <c r="E85" s="6" t="n">
        <v>0.1008352753262375</v>
      </c>
      <c r="F85" s="6" t="n">
        <v>0.2223054123318314</v>
      </c>
      <c r="G85" s="6" t="n">
        <v>84</v>
      </c>
      <c r="H85" s="6" t="n">
        <v>134</v>
      </c>
      <c r="I85" s="6" t="inlineStr">
        <is>
          <t xml:space="preserve">个体经营E156 </t>
        </is>
      </c>
      <c r="J85" s="6" t="b">
        <v>0</v>
      </c>
      <c r="K85" s="6" t="inlineStr">
        <is>
          <t>未知</t>
        </is>
      </c>
      <c r="L85" s="6" t="n">
        <v>0</v>
      </c>
      <c r="M85" s="6" t="n">
        <v>1</v>
      </c>
      <c r="N85" s="6" t="n">
        <v>0.05841739293656563</v>
      </c>
      <c r="O85" s="6" t="inlineStr">
        <is>
          <t>A</t>
        </is>
      </c>
      <c r="P85" s="6" t="n">
        <v>100</v>
      </c>
      <c r="Q85" s="6" t="n">
        <v>0.1225</v>
      </c>
      <c r="R85" s="6" t="n">
        <v>0.81480900767149</v>
      </c>
      <c r="S85" s="6" t="n">
        <v>0.01023984583825151</v>
      </c>
      <c r="T85" s="6" t="inlineStr"/>
      <c r="U85" s="6" t="n">
        <v>0.18519099232851</v>
      </c>
      <c r="V85" s="6" t="n">
        <v>18.519099232851</v>
      </c>
      <c r="W85" s="6" t="n">
        <v>12.25</v>
      </c>
      <c r="X85" s="6" t="n">
        <v>2.136064562676451</v>
      </c>
      <c r="Y85" s="6" t="n">
        <v>0.6491024980300247</v>
      </c>
      <c r="Z85" s="6" t="n">
        <v>0.462977480821275</v>
      </c>
      <c r="AA85" s="9">
        <f>P85*(1-R85)*((1-B85)*Q85-B85*'模型说明与假设'!$B$7-'模型说明与假设'!$B$8)</f>
        <v/>
      </c>
      <c r="AB85" s="6" t="b">
        <v>0</v>
      </c>
      <c r="AC85" s="6" t="n">
        <v>0.05841739293656563</v>
      </c>
      <c r="AD85" s="6" t="inlineStr">
        <is>
          <t>A</t>
        </is>
      </c>
      <c r="AE85" s="6" t="n">
        <v>100</v>
      </c>
      <c r="AF85" s="6" t="n">
        <v>0.1225</v>
      </c>
      <c r="AG85" s="6" t="n">
        <v>0.81480900767149</v>
      </c>
      <c r="AH85" s="6" t="n">
        <v>1.023984583825151</v>
      </c>
    </row>
    <row r="86">
      <c r="A86" s="6" t="inlineStr">
        <is>
          <t>E311</t>
        </is>
      </c>
      <c r="B86" s="6" t="n">
        <v>0.05845153450194475</v>
      </c>
      <c r="C86" s="6" t="inlineStr">
        <is>
          <t>A</t>
        </is>
      </c>
      <c r="D86" s="6" t="n">
        <v>0.7360309034727233</v>
      </c>
      <c r="E86" s="6" t="n">
        <v>0.08176074522474136</v>
      </c>
      <c r="F86" s="6" t="n">
        <v>0.2279753045643021</v>
      </c>
      <c r="G86" s="6" t="n">
        <v>85</v>
      </c>
      <c r="H86" s="6" t="n">
        <v>58</v>
      </c>
      <c r="I86" s="6" t="inlineStr">
        <is>
          <t>***律师事务所</t>
        </is>
      </c>
      <c r="J86" s="6" t="b">
        <v>0</v>
      </c>
      <c r="K86" s="6" t="inlineStr">
        <is>
          <t>其他</t>
        </is>
      </c>
      <c r="L86" s="6" t="n">
        <v>0.3</v>
      </c>
      <c r="M86" s="6" t="n">
        <v>1</v>
      </c>
      <c r="N86" s="6" t="n">
        <v>0.05845153450194475</v>
      </c>
      <c r="O86" s="6" t="inlineStr">
        <is>
          <t>A</t>
        </is>
      </c>
      <c r="P86" s="6" t="n">
        <v>100</v>
      </c>
      <c r="Q86" s="6" t="n">
        <v>0.1225</v>
      </c>
      <c r="R86" s="6" t="n">
        <v>0.81480900767149</v>
      </c>
      <c r="S86" s="6" t="n">
        <v>0.01023527768000759</v>
      </c>
      <c r="T86" s="6" t="inlineStr"/>
      <c r="U86" s="6" t="n">
        <v>0.18519099232851</v>
      </c>
      <c r="V86" s="6" t="n">
        <v>18.519099232851</v>
      </c>
      <c r="W86" s="6" t="n">
        <v>12.25</v>
      </c>
      <c r="X86" s="6" t="n">
        <v>2.135987109474391</v>
      </c>
      <c r="Y86" s="6" t="n">
        <v>0.6494818606523571</v>
      </c>
      <c r="Z86" s="6" t="n">
        <v>0.462977480821275</v>
      </c>
      <c r="AA86" s="9">
        <f>P86*(1-R86)*((1-B86)*Q86-B86*'模型说明与假设'!$B$7-'模型说明与假设'!$B$8)</f>
        <v/>
      </c>
      <c r="AB86" s="6" t="b">
        <v>0</v>
      </c>
      <c r="AC86" s="6" t="n">
        <v>0.05845153450194475</v>
      </c>
      <c r="AD86" s="6" t="inlineStr">
        <is>
          <t>A</t>
        </is>
      </c>
      <c r="AE86" s="6" t="n">
        <v>100</v>
      </c>
      <c r="AF86" s="6" t="n">
        <v>0.1225</v>
      </c>
      <c r="AG86" s="6" t="n">
        <v>0.81480900767149</v>
      </c>
      <c r="AH86" s="6" t="n">
        <v>1.023527768000759</v>
      </c>
    </row>
    <row r="87">
      <c r="A87" s="6" t="inlineStr">
        <is>
          <t>E243</t>
        </is>
      </c>
      <c r="B87" s="6" t="n">
        <v>0.05333890048760801</v>
      </c>
      <c r="C87" s="6" t="inlineStr">
        <is>
          <t>A</t>
        </is>
      </c>
      <c r="D87" s="6" t="n">
        <v>0.7179298474646466</v>
      </c>
      <c r="E87" s="6" t="n">
        <v>0.08938649656346527</v>
      </c>
      <c r="F87" s="6" t="n">
        <v>0.227508062325611</v>
      </c>
      <c r="G87" s="6" t="n">
        <v>86</v>
      </c>
      <c r="H87" s="6" t="n">
        <v>83</v>
      </c>
      <c r="I87" s="6" t="inlineStr">
        <is>
          <t>***科技有限公司</t>
        </is>
      </c>
      <c r="J87" s="6" t="b">
        <v>0</v>
      </c>
      <c r="K87" s="6" t="inlineStr">
        <is>
          <t>正面/轻影响</t>
        </is>
      </c>
      <c r="L87" s="6" t="n">
        <v>0.9</v>
      </c>
      <c r="M87" s="6" t="n">
        <v>0.9</v>
      </c>
      <c r="N87" s="6" t="n">
        <v>0.05891627506039259</v>
      </c>
      <c r="O87" s="6" t="inlineStr">
        <is>
          <t>A</t>
        </is>
      </c>
      <c r="P87" s="6" t="n">
        <v>100</v>
      </c>
      <c r="Q87" s="6" t="n">
        <v>0.1225</v>
      </c>
      <c r="R87" s="6" t="n">
        <v>0.81480900767149</v>
      </c>
      <c r="S87" s="6" t="n">
        <v>0.01091935062632372</v>
      </c>
      <c r="T87" s="6" t="inlineStr"/>
      <c r="U87" s="6" t="n">
        <v>0.18519099232851</v>
      </c>
      <c r="V87" s="6" t="n">
        <v>18.519099232851</v>
      </c>
      <c r="W87" s="6" t="n">
        <v>12.25</v>
      </c>
      <c r="X87" s="6" t="n">
        <v>2.147585578114353</v>
      </c>
      <c r="Y87" s="6" t="n">
        <v>0.5926730346607063</v>
      </c>
      <c r="Z87" s="6" t="n">
        <v>0.462977480821275</v>
      </c>
      <c r="AA87" s="9">
        <f>P87*(1-R87)*((1-B87)*Q87-B87*'模型说明与假设'!$B$7-'模型说明与假设'!$B$8)</f>
        <v/>
      </c>
      <c r="AB87" s="6" t="b">
        <v>0</v>
      </c>
      <c r="AC87" s="6" t="n">
        <v>0.05891627506039259</v>
      </c>
      <c r="AD87" s="6" t="inlineStr">
        <is>
          <t>A</t>
        </is>
      </c>
      <c r="AE87" s="6" t="n">
        <v>100</v>
      </c>
      <c r="AF87" s="6" t="n">
        <v>0.1225</v>
      </c>
      <c r="AG87" s="6" t="n">
        <v>0.81480900767149</v>
      </c>
      <c r="AH87" s="6" t="n">
        <v>1.017309516465473</v>
      </c>
    </row>
    <row r="88">
      <c r="A88" s="6" t="inlineStr">
        <is>
          <t>E128</t>
        </is>
      </c>
      <c r="B88" s="6" t="n">
        <v>0.05901277334789417</v>
      </c>
      <c r="C88" s="6" t="inlineStr">
        <is>
          <t>A</t>
        </is>
      </c>
      <c r="D88" s="6" t="n">
        <v>0.7287831794983124</v>
      </c>
      <c r="E88" s="6" t="n">
        <v>0.08757761598635085</v>
      </c>
      <c r="F88" s="6" t="n">
        <v>0.2353286691929856</v>
      </c>
      <c r="G88" s="6" t="n">
        <v>87</v>
      </c>
      <c r="H88" s="6" t="n">
        <v>66</v>
      </c>
      <c r="I88" s="6" t="inlineStr">
        <is>
          <t xml:space="preserve">个体经营E128 </t>
        </is>
      </c>
      <c r="J88" s="6" t="b">
        <v>0</v>
      </c>
      <c r="K88" s="6" t="inlineStr">
        <is>
          <t>未知</t>
        </is>
      </c>
      <c r="L88" s="6" t="n">
        <v>0</v>
      </c>
      <c r="M88" s="6" t="n">
        <v>1</v>
      </c>
      <c r="N88" s="6" t="n">
        <v>0.05901277334789417</v>
      </c>
      <c r="O88" s="6" t="inlineStr">
        <is>
          <t>A</t>
        </is>
      </c>
      <c r="P88" s="6" t="n">
        <v>100</v>
      </c>
      <c r="Q88" s="6" t="n">
        <v>0.1225</v>
      </c>
      <c r="R88" s="6" t="n">
        <v>0.81480900767149</v>
      </c>
      <c r="S88" s="6" t="n">
        <v>0.01016018364631398</v>
      </c>
      <c r="T88" s="6" t="inlineStr"/>
      <c r="U88" s="6" t="n">
        <v>0.18519099232851</v>
      </c>
      <c r="V88" s="6" t="n">
        <v>18.519099232851</v>
      </c>
      <c r="W88" s="6" t="n">
        <v>12.25</v>
      </c>
      <c r="X88" s="6" t="n">
        <v>2.134713888833911</v>
      </c>
      <c r="Y88" s="6" t="n">
        <v>0.6557180433812381</v>
      </c>
      <c r="Z88" s="6" t="n">
        <v>0.462977480821275</v>
      </c>
      <c r="AA88" s="9">
        <f>P88*(1-R88)*((1-B88)*Q88-B88*'模型说明与假设'!$B$7-'模型说明与假设'!$B$8)</f>
        <v/>
      </c>
      <c r="AB88" s="6" t="b">
        <v>0</v>
      </c>
      <c r="AC88" s="6" t="n">
        <v>0.05901277334789417</v>
      </c>
      <c r="AD88" s="6" t="inlineStr">
        <is>
          <t>A</t>
        </is>
      </c>
      <c r="AE88" s="6" t="n">
        <v>100</v>
      </c>
      <c r="AF88" s="6" t="n">
        <v>0.1225</v>
      </c>
      <c r="AG88" s="6" t="n">
        <v>0.81480900767149</v>
      </c>
      <c r="AH88" s="6" t="n">
        <v>1.016018364631398</v>
      </c>
    </row>
    <row r="89">
      <c r="A89" s="6" t="inlineStr">
        <is>
          <t>E282</t>
        </is>
      </c>
      <c r="B89" s="6" t="n">
        <v>0.05922469499570951</v>
      </c>
      <c r="C89" s="6" t="inlineStr">
        <is>
          <t>A</t>
        </is>
      </c>
      <c r="D89" s="6" t="n">
        <v>0.7077801851988317</v>
      </c>
      <c r="E89" s="6" t="n">
        <v>0.09105448715707393</v>
      </c>
      <c r="F89" s="6" t="n">
        <v>0.2205413819287683</v>
      </c>
      <c r="G89" s="6" t="n">
        <v>88</v>
      </c>
      <c r="H89" s="6" t="n">
        <v>103</v>
      </c>
      <c r="I89" s="6" t="inlineStr">
        <is>
          <t>***影城有限公司***分公司</t>
        </is>
      </c>
      <c r="J89" s="6" t="b">
        <v>0</v>
      </c>
      <c r="K89" s="6" t="inlineStr">
        <is>
          <t>其他</t>
        </is>
      </c>
      <c r="L89" s="6" t="n">
        <v>0.3</v>
      </c>
      <c r="M89" s="6" t="n">
        <v>1</v>
      </c>
      <c r="N89" s="6" t="n">
        <v>0.05922469499570951</v>
      </c>
      <c r="O89" s="6" t="inlineStr">
        <is>
          <t>A</t>
        </is>
      </c>
      <c r="P89" s="6" t="n">
        <v>100</v>
      </c>
      <c r="Q89" s="6" t="n">
        <v>0.1225</v>
      </c>
      <c r="R89" s="6" t="n">
        <v>0.81480900767149</v>
      </c>
      <c r="S89" s="6" t="n">
        <v>0.01013182842557988</v>
      </c>
      <c r="T89" s="6" t="inlineStr"/>
      <c r="U89" s="6" t="n">
        <v>0.18519099232851</v>
      </c>
      <c r="V89" s="6" t="n">
        <v>18.519099232851</v>
      </c>
      <c r="W89" s="6" t="n">
        <v>12.25</v>
      </c>
      <c r="X89" s="6" t="n">
        <v>2.13423312557579</v>
      </c>
      <c r="Y89" s="6" t="n">
        <v>0.658072802196527</v>
      </c>
      <c r="Z89" s="6" t="n">
        <v>0.462977480821275</v>
      </c>
      <c r="AA89" s="9">
        <f>P89*(1-R89)*((1-B89)*Q89-B89*'模型说明与假设'!$B$7-'模型说明与假设'!$B$8)</f>
        <v/>
      </c>
      <c r="AB89" s="6" t="b">
        <v>0</v>
      </c>
      <c r="AC89" s="6" t="n">
        <v>0.05922469499570951</v>
      </c>
      <c r="AD89" s="6" t="inlineStr">
        <is>
          <t>A</t>
        </is>
      </c>
      <c r="AE89" s="6" t="n">
        <v>100</v>
      </c>
      <c r="AF89" s="6" t="n">
        <v>0.1225</v>
      </c>
      <c r="AG89" s="6" t="n">
        <v>0.81480900767149</v>
      </c>
      <c r="AH89" s="6" t="n">
        <v>1.013182842557988</v>
      </c>
    </row>
    <row r="90">
      <c r="A90" s="6" t="inlineStr">
        <is>
          <t>E303</t>
        </is>
      </c>
      <c r="B90" s="6" t="n">
        <v>0.05964559097305221</v>
      </c>
      <c r="C90" s="6" t="inlineStr">
        <is>
          <t>A</t>
        </is>
      </c>
      <c r="D90" s="6" t="n">
        <v>0.7006707164134015</v>
      </c>
      <c r="E90" s="6" t="n">
        <v>0.09471250047907143</v>
      </c>
      <c r="F90" s="6" t="n">
        <v>0.2217032519131274</v>
      </c>
      <c r="G90" s="6" t="n">
        <v>89</v>
      </c>
      <c r="H90" s="6" t="n">
        <v>111</v>
      </c>
      <c r="I90" s="6" t="inlineStr">
        <is>
          <t>***图书发行有限公司</t>
        </is>
      </c>
      <c r="J90" s="6" t="b">
        <v>0</v>
      </c>
      <c r="K90" s="6" t="inlineStr">
        <is>
          <t>其他</t>
        </is>
      </c>
      <c r="L90" s="6" t="n">
        <v>0.3</v>
      </c>
      <c r="M90" s="6" t="n">
        <v>1</v>
      </c>
      <c r="N90" s="6" t="n">
        <v>0.05964559097305221</v>
      </c>
      <c r="O90" s="6" t="inlineStr">
        <is>
          <t>A</t>
        </is>
      </c>
      <c r="P90" s="6" t="n">
        <v>100</v>
      </c>
      <c r="Q90" s="6" t="n">
        <v>0.1225</v>
      </c>
      <c r="R90" s="6" t="n">
        <v>0.81480900767149</v>
      </c>
      <c r="S90" s="6" t="n">
        <v>0.01007551233674855</v>
      </c>
      <c r="T90" s="6" t="inlineStr"/>
      <c r="U90" s="6" t="n">
        <v>0.18519099232851</v>
      </c>
      <c r="V90" s="6" t="n">
        <v>18.519099232851</v>
      </c>
      <c r="W90" s="6" t="n">
        <v>12.25</v>
      </c>
      <c r="X90" s="6" t="n">
        <v>2.133278285315328</v>
      </c>
      <c r="Y90" s="6" t="n">
        <v>0.6627495708191973</v>
      </c>
      <c r="Z90" s="6" t="n">
        <v>0.462977480821275</v>
      </c>
      <c r="AA90" s="9">
        <f>P90*(1-R90)*((1-B90)*Q90-B90*'模型说明与假设'!$B$7-'模型说明与假设'!$B$8)</f>
        <v/>
      </c>
      <c r="AB90" s="6" t="b">
        <v>0</v>
      </c>
      <c r="AC90" s="6" t="n">
        <v>0.05964559097305221</v>
      </c>
      <c r="AD90" s="6" t="inlineStr">
        <is>
          <t>A</t>
        </is>
      </c>
      <c r="AE90" s="6" t="n">
        <v>100</v>
      </c>
      <c r="AF90" s="6" t="n">
        <v>0.1225</v>
      </c>
      <c r="AG90" s="6" t="n">
        <v>0.81480900767149</v>
      </c>
      <c r="AH90" s="6" t="n">
        <v>1.007551233674856</v>
      </c>
    </row>
    <row r="91">
      <c r="A91" s="6" t="inlineStr">
        <is>
          <t>E337</t>
        </is>
      </c>
      <c r="B91" s="6" t="n">
        <v>0.06016493852750646</v>
      </c>
      <c r="C91" s="6" t="inlineStr">
        <is>
          <t>A</t>
        </is>
      </c>
      <c r="D91" s="6" t="n">
        <v>0.6771270556947574</v>
      </c>
      <c r="E91" s="6" t="n">
        <v>0.1051576898590214</v>
      </c>
      <c r="F91" s="6" t="n">
        <v>0.2205360287190388</v>
      </c>
      <c r="G91" s="6" t="n">
        <v>90</v>
      </c>
      <c r="H91" s="6" t="n">
        <v>149</v>
      </c>
      <c r="I91" s="6" t="inlineStr">
        <is>
          <t xml:space="preserve">个体经营E337 </t>
        </is>
      </c>
      <c r="J91" s="6" t="b">
        <v>0</v>
      </c>
      <c r="K91" s="6" t="inlineStr">
        <is>
          <t>未知</t>
        </is>
      </c>
      <c r="L91" s="6" t="n">
        <v>0</v>
      </c>
      <c r="M91" s="6" t="n">
        <v>1</v>
      </c>
      <c r="N91" s="6" t="n">
        <v>0.06016493852750645</v>
      </c>
      <c r="O91" s="6" t="inlineStr">
        <is>
          <t>A</t>
        </is>
      </c>
      <c r="P91" s="6" t="n">
        <v>100</v>
      </c>
      <c r="Q91" s="6" t="n">
        <v>0.1225</v>
      </c>
      <c r="R91" s="6" t="n">
        <v>0.81480900767149</v>
      </c>
      <c r="S91" s="6" t="n">
        <v>0.01000602337846573</v>
      </c>
      <c r="T91" s="6" t="inlineStr"/>
      <c r="U91" s="6" t="n">
        <v>0.18519099232851</v>
      </c>
      <c r="V91" s="6" t="n">
        <v>18.519099232851</v>
      </c>
      <c r="W91" s="6" t="n">
        <v>12.25</v>
      </c>
      <c r="X91" s="6" t="n">
        <v>2.132100098825411</v>
      </c>
      <c r="Y91" s="6" t="n">
        <v>0.6685202801575633</v>
      </c>
      <c r="Z91" s="6" t="n">
        <v>0.462977480821275</v>
      </c>
      <c r="AA91" s="9">
        <f>P91*(1-R91)*((1-B91)*Q91-B91*'模型说明与假设'!$B$7-'模型说明与假设'!$B$8)</f>
        <v/>
      </c>
      <c r="AB91" s="6" t="b">
        <v>0</v>
      </c>
      <c r="AC91" s="6" t="n">
        <v>0.06016493852750645</v>
      </c>
      <c r="AD91" s="6" t="inlineStr">
        <is>
          <t>A</t>
        </is>
      </c>
      <c r="AE91" s="6" t="n">
        <v>100</v>
      </c>
      <c r="AF91" s="6" t="n">
        <v>0.1225</v>
      </c>
      <c r="AG91" s="6" t="n">
        <v>0.81480900767149</v>
      </c>
      <c r="AH91" s="6" t="n">
        <v>1.000602337846573</v>
      </c>
    </row>
    <row r="92">
      <c r="A92" s="6" t="inlineStr">
        <is>
          <t>E162</t>
        </is>
      </c>
      <c r="B92" s="6" t="n">
        <v>0.05641929704084235</v>
      </c>
      <c r="C92" s="6" t="inlineStr">
        <is>
          <t>A</t>
        </is>
      </c>
      <c r="D92" s="6" t="n">
        <v>0.7173986531058466</v>
      </c>
      <c r="E92" s="6" t="n">
        <v>0.08445963245302493</v>
      </c>
      <c r="F92" s="6" t="n">
        <v>0.2144053000083861</v>
      </c>
      <c r="G92" s="6" t="n">
        <v>91</v>
      </c>
      <c r="H92" s="6" t="n">
        <v>87</v>
      </c>
      <c r="I92" s="6" t="inlineStr">
        <is>
          <t>***网络信息安全有限公司</t>
        </is>
      </c>
      <c r="J92" s="6" t="b">
        <v>0</v>
      </c>
      <c r="K92" s="6" t="inlineStr">
        <is>
          <t>正面/轻影响</t>
        </is>
      </c>
      <c r="L92" s="6" t="n">
        <v>0.9</v>
      </c>
      <c r="M92" s="6" t="n">
        <v>0.9</v>
      </c>
      <c r="N92" s="6" t="n">
        <v>0.06229757610635053</v>
      </c>
      <c r="O92" s="6" t="inlineStr">
        <is>
          <t>A</t>
        </is>
      </c>
      <c r="P92" s="6" t="n">
        <v>100</v>
      </c>
      <c r="Q92" s="6" t="n">
        <v>0.1225</v>
      </c>
      <c r="R92" s="6" t="n">
        <v>0.81480900767149</v>
      </c>
      <c r="S92" s="6" t="n">
        <v>0.01050719205207724</v>
      </c>
      <c r="T92" s="6" t="inlineStr"/>
      <c r="U92" s="6" t="n">
        <v>0.18519099232851</v>
      </c>
      <c r="V92" s="6" t="n">
        <v>18.519099232851</v>
      </c>
      <c r="W92" s="6" t="n">
        <v>12.25</v>
      </c>
      <c r="X92" s="6" t="n">
        <v>2.140597422357233</v>
      </c>
      <c r="Y92" s="6" t="n">
        <v>0.6269007363282336</v>
      </c>
      <c r="Z92" s="6" t="n">
        <v>0.462977480821275</v>
      </c>
      <c r="AA92" s="9">
        <f>P92*(1-R92)*((1-B92)*Q92-B92*'模型说明与假设'!$B$7-'模型说明与假设'!$B$8)</f>
        <v/>
      </c>
      <c r="AB92" s="6" t="b">
        <v>0</v>
      </c>
      <c r="AC92" s="6" t="n">
        <v>0.06229757610635053</v>
      </c>
      <c r="AD92" s="6" t="inlineStr">
        <is>
          <t>A</t>
        </is>
      </c>
      <c r="AE92" s="6" t="n">
        <v>100</v>
      </c>
      <c r="AF92" s="6" t="n">
        <v>0.1225</v>
      </c>
      <c r="AG92" s="6" t="n">
        <v>0.81480900767149</v>
      </c>
      <c r="AH92" s="6" t="n">
        <v>0.9720675421249665</v>
      </c>
    </row>
    <row r="93">
      <c r="A93" s="6" t="inlineStr">
        <is>
          <t>E186</t>
        </is>
      </c>
      <c r="B93" s="6" t="n">
        <v>0.07103029167966196</v>
      </c>
      <c r="C93" s="6" t="inlineStr">
        <is>
          <t>A</t>
        </is>
      </c>
      <c r="D93" s="6" t="n">
        <v>0.7125172825653469</v>
      </c>
      <c r="E93" s="6" t="n">
        <v>0.09195985040992104</v>
      </c>
      <c r="F93" s="6" t="n">
        <v>0.2279197278496804</v>
      </c>
      <c r="G93" s="6" t="n">
        <v>92</v>
      </c>
      <c r="H93" s="6" t="n">
        <v>96</v>
      </c>
      <c r="I93" s="6" t="inlineStr">
        <is>
          <t>***建筑劳务有限公司</t>
        </is>
      </c>
      <c r="J93" s="6" t="b">
        <v>0</v>
      </c>
      <c r="K93" s="6" t="inlineStr">
        <is>
          <t>中度负面</t>
        </is>
      </c>
      <c r="L93" s="6" t="n">
        <v>0.9</v>
      </c>
      <c r="M93" s="6" t="n">
        <v>1.15</v>
      </c>
      <c r="N93" s="6" t="n">
        <v>0.06234306837328336</v>
      </c>
      <c r="O93" s="6" t="inlineStr">
        <is>
          <t>A</t>
        </is>
      </c>
      <c r="P93" s="6" t="n">
        <v>0</v>
      </c>
      <c r="Q93" s="6" t="n">
        <v>0.1225</v>
      </c>
      <c r="R93" s="6" t="n">
        <v>0.81480900767149</v>
      </c>
      <c r="S93" s="6" t="n">
        <v>0.008552233781417</v>
      </c>
      <c r="T93" s="6" t="inlineStr"/>
      <c r="U93" s="6" t="n">
        <v>0</v>
      </c>
      <c r="V93" s="6" t="n">
        <v>0</v>
      </c>
      <c r="W93" s="6" t="n">
        <v>0</v>
      </c>
      <c r="X93" s="6" t="n">
        <v>0</v>
      </c>
      <c r="Y93" s="6" t="n">
        <v>0</v>
      </c>
      <c r="Z93" s="6" t="n">
        <v>0</v>
      </c>
      <c r="AA93" s="9">
        <f>P93*(1-R93)*((1-B93)*Q93-B93*'模型说明与假设'!$B$7-'模型说明与假设'!$B$8)</f>
        <v/>
      </c>
      <c r="AB93" s="6" t="b">
        <v>0</v>
      </c>
      <c r="AC93" s="6" t="n">
        <v>0.06234306837328336</v>
      </c>
      <c r="AD93" s="6" t="inlineStr">
        <is>
          <t>A</t>
        </is>
      </c>
      <c r="AE93" s="6" t="n">
        <v>100</v>
      </c>
      <c r="AF93" s="6" t="n">
        <v>0.1225</v>
      </c>
      <c r="AG93" s="6" t="n">
        <v>0.81480900767149</v>
      </c>
      <c r="AH93" s="6" t="n">
        <v>0.9714588533553796</v>
      </c>
    </row>
    <row r="94">
      <c r="A94" s="6" t="inlineStr">
        <is>
          <t>E261</t>
        </is>
      </c>
      <c r="B94" s="6" t="n">
        <v>0.05673998356578197</v>
      </c>
      <c r="C94" s="6" t="inlineStr">
        <is>
          <t>A</t>
        </is>
      </c>
      <c r="D94" s="6" t="n">
        <v>0.7501136912505376</v>
      </c>
      <c r="E94" s="6" t="n">
        <v>0.07524613014637724</v>
      </c>
      <c r="F94" s="6" t="n">
        <v>0.2258753299405758</v>
      </c>
      <c r="G94" s="6" t="n">
        <v>93</v>
      </c>
      <c r="H94" s="6" t="n">
        <v>34</v>
      </c>
      <c r="I94" s="6" t="inlineStr">
        <is>
          <t>***医疗器械有限公司</t>
        </is>
      </c>
      <c r="J94" s="6" t="b">
        <v>0</v>
      </c>
      <c r="K94" s="6" t="inlineStr">
        <is>
          <t>正面/轻影响</t>
        </is>
      </c>
      <c r="L94" s="6" t="n">
        <v>0.9</v>
      </c>
      <c r="M94" s="6" t="n">
        <v>0.9</v>
      </c>
      <c r="N94" s="6" t="n">
        <v>0.0626494562819971</v>
      </c>
      <c r="O94" s="6" t="inlineStr">
        <is>
          <t>A</t>
        </is>
      </c>
      <c r="P94" s="6" t="n">
        <v>100</v>
      </c>
      <c r="Q94" s="6" t="n">
        <v>0.1225</v>
      </c>
      <c r="R94" s="6" t="n">
        <v>0.81480900767149</v>
      </c>
      <c r="S94" s="6" t="n">
        <v>0.01046428403727623</v>
      </c>
      <c r="T94" s="6" t="inlineStr"/>
      <c r="U94" s="6" t="n">
        <v>0.18519099232851</v>
      </c>
      <c r="V94" s="6" t="n">
        <v>18.519099232851</v>
      </c>
      <c r="W94" s="6" t="n">
        <v>12.25</v>
      </c>
      <c r="X94" s="6" t="n">
        <v>2.139869916223928</v>
      </c>
      <c r="Y94" s="6" t="n">
        <v>0.6304640316750307</v>
      </c>
      <c r="Z94" s="6" t="n">
        <v>0.462977480821275</v>
      </c>
      <c r="AA94" s="9">
        <f>P94*(1-R94)*((1-B94)*Q94-B94*'模型说明与假设'!$B$7-'模型说明与假设'!$B$8)</f>
        <v/>
      </c>
      <c r="AB94" s="6" t="b">
        <v>0</v>
      </c>
      <c r="AC94" s="6" t="n">
        <v>0.0626494562819971</v>
      </c>
      <c r="AD94" s="6" t="inlineStr">
        <is>
          <t>A</t>
        </is>
      </c>
      <c r="AE94" s="6" t="n">
        <v>100</v>
      </c>
      <c r="AF94" s="6" t="n">
        <v>0.1225</v>
      </c>
      <c r="AG94" s="6" t="n">
        <v>0.81480900767149</v>
      </c>
      <c r="AH94" s="6" t="n">
        <v>0.9673593680638113</v>
      </c>
    </row>
    <row r="95">
      <c r="A95" s="6" t="inlineStr">
        <is>
          <t>E214</t>
        </is>
      </c>
      <c r="B95" s="6" t="n">
        <v>0.07149406754491966</v>
      </c>
      <c r="C95" s="6" t="inlineStr">
        <is>
          <t>A</t>
        </is>
      </c>
      <c r="D95" s="6" t="n">
        <v>0.7284573384227904</v>
      </c>
      <c r="E95" s="6" t="n">
        <v>0.08262600513676857</v>
      </c>
      <c r="F95" s="6" t="n">
        <v>0.2216576925218217</v>
      </c>
      <c r="G95" s="6" t="n">
        <v>94</v>
      </c>
      <c r="H95" s="6" t="n">
        <v>68</v>
      </c>
      <c r="I95" s="6" t="inlineStr">
        <is>
          <t>***建筑工程有限公司</t>
        </is>
      </c>
      <c r="J95" s="6" t="b">
        <v>0</v>
      </c>
      <c r="K95" s="6" t="inlineStr">
        <is>
          <t>中度负面</t>
        </is>
      </c>
      <c r="L95" s="6" t="n">
        <v>0.9</v>
      </c>
      <c r="M95" s="6" t="n">
        <v>1.15</v>
      </c>
      <c r="N95" s="6" t="n">
        <v>0.06275395466605262</v>
      </c>
      <c r="O95" s="6" t="inlineStr">
        <is>
          <t>A</t>
        </is>
      </c>
      <c r="P95" s="6" t="n">
        <v>0</v>
      </c>
      <c r="Q95" s="6" t="n">
        <v>0.1225</v>
      </c>
      <c r="R95" s="6" t="n">
        <v>0.81480900767149</v>
      </c>
      <c r="S95" s="6" t="n">
        <v>0.008490180342487573</v>
      </c>
      <c r="T95" s="6" t="inlineStr"/>
      <c r="U95" s="6" t="n">
        <v>0</v>
      </c>
      <c r="V95" s="6" t="n">
        <v>0</v>
      </c>
      <c r="W95" s="6" t="n">
        <v>0</v>
      </c>
      <c r="X95" s="6" t="n">
        <v>0</v>
      </c>
      <c r="Y95" s="6" t="n">
        <v>0</v>
      </c>
      <c r="Z95" s="6" t="n">
        <v>0</v>
      </c>
      <c r="AA95" s="9">
        <f>P95*(1-R95)*((1-B95)*Q95-B95*'模型说明与假设'!$B$7-'模型说明与假设'!$B$8)</f>
        <v/>
      </c>
      <c r="AB95" s="6" t="b">
        <v>0</v>
      </c>
      <c r="AC95" s="6" t="n">
        <v>0.06275395466605262</v>
      </c>
      <c r="AD95" s="6" t="inlineStr">
        <is>
          <t>A</t>
        </is>
      </c>
      <c r="AE95" s="6" t="n">
        <v>100</v>
      </c>
      <c r="AF95" s="6" t="n">
        <v>0.1225</v>
      </c>
      <c r="AG95" s="6" t="n">
        <v>0.81480900767149</v>
      </c>
      <c r="AH95" s="6" t="n">
        <v>0.9659611745442744</v>
      </c>
    </row>
    <row r="96">
      <c r="A96" s="6" t="inlineStr">
        <is>
          <t>E294</t>
        </is>
      </c>
      <c r="B96" s="6" t="n">
        <v>0.06419764808635216</v>
      </c>
      <c r="C96" s="6" t="inlineStr">
        <is>
          <t>A</t>
        </is>
      </c>
      <c r="D96" s="6" t="n">
        <v>0.712983072900771</v>
      </c>
      <c r="E96" s="6" t="n">
        <v>0.09066071050058266</v>
      </c>
      <c r="F96" s="6" t="n">
        <v>0.2252116368792601</v>
      </c>
      <c r="G96" s="6" t="n">
        <v>95</v>
      </c>
      <c r="H96" s="6" t="n">
        <v>95</v>
      </c>
      <c r="I96" s="6" t="inlineStr">
        <is>
          <t xml:space="preserve">个体经营E294 </t>
        </is>
      </c>
      <c r="J96" s="6" t="b">
        <v>0</v>
      </c>
      <c r="K96" s="6" t="inlineStr">
        <is>
          <t>未知</t>
        </is>
      </c>
      <c r="L96" s="6" t="n">
        <v>0</v>
      </c>
      <c r="M96" s="6" t="n">
        <v>1</v>
      </c>
      <c r="N96" s="6" t="n">
        <v>0.06419764808635216</v>
      </c>
      <c r="O96" s="6" t="inlineStr">
        <is>
          <t>A</t>
        </is>
      </c>
      <c r="P96" s="6" t="n">
        <v>100</v>
      </c>
      <c r="Q96" s="6" t="n">
        <v>0.1225</v>
      </c>
      <c r="R96" s="6" t="n">
        <v>0.81480900767149</v>
      </c>
      <c r="S96" s="6" t="n">
        <v>0.009466444855571073</v>
      </c>
      <c r="T96" s="6" t="inlineStr"/>
      <c r="U96" s="6" t="n">
        <v>0.18519099232851</v>
      </c>
      <c r="V96" s="6" t="n">
        <v>18.519099232851</v>
      </c>
      <c r="W96" s="6" t="n">
        <v>12.25</v>
      </c>
      <c r="X96" s="6" t="n">
        <v>2.122951535634464</v>
      </c>
      <c r="Y96" s="6" t="n">
        <v>0.7133295692560816</v>
      </c>
      <c r="Z96" s="6" t="n">
        <v>0.462977480821275</v>
      </c>
      <c r="AA96" s="9">
        <f>P96*(1-R96)*((1-B96)*Q96-B96*'模型说明与假设'!$B$7-'模型说明与假设'!$B$8)</f>
        <v/>
      </c>
      <c r="AB96" s="6" t="b">
        <v>0</v>
      </c>
      <c r="AC96" s="6" t="n">
        <v>0.06419764808635216</v>
      </c>
      <c r="AD96" s="6" t="inlineStr">
        <is>
          <t>A</t>
        </is>
      </c>
      <c r="AE96" s="6" t="n">
        <v>100</v>
      </c>
      <c r="AF96" s="6" t="n">
        <v>0.1225</v>
      </c>
      <c r="AG96" s="6" t="n">
        <v>0.81480900767149</v>
      </c>
      <c r="AH96" s="6" t="n">
        <v>0.9466444855571072</v>
      </c>
    </row>
    <row r="97">
      <c r="A97" s="6" t="inlineStr">
        <is>
          <t>E280</t>
        </is>
      </c>
      <c r="B97" s="6" t="n">
        <v>0.06428560242731637</v>
      </c>
      <c r="C97" s="6" t="inlineStr">
        <is>
          <t>A</t>
        </is>
      </c>
      <c r="D97" s="6" t="n">
        <v>0.7176672024052323</v>
      </c>
      <c r="E97" s="6" t="n">
        <v>0.08676149412665901</v>
      </c>
      <c r="F97" s="6" t="n">
        <v>0.2205407210810399</v>
      </c>
      <c r="G97" s="6" t="n">
        <v>96</v>
      </c>
      <c r="H97" s="6" t="n">
        <v>85</v>
      </c>
      <c r="I97" s="6" t="inlineStr">
        <is>
          <t xml:space="preserve">个体经营E280 </t>
        </is>
      </c>
      <c r="J97" s="6" t="b">
        <v>0</v>
      </c>
      <c r="K97" s="6" t="inlineStr">
        <is>
          <t>未知</t>
        </is>
      </c>
      <c r="L97" s="6" t="n">
        <v>0</v>
      </c>
      <c r="M97" s="6" t="n">
        <v>1</v>
      </c>
      <c r="N97" s="6" t="n">
        <v>0.06428560242731637</v>
      </c>
      <c r="O97" s="6" t="inlineStr">
        <is>
          <t>A</t>
        </is>
      </c>
      <c r="P97" s="6" t="n">
        <v>100</v>
      </c>
      <c r="Q97" s="6" t="n">
        <v>0.1225</v>
      </c>
      <c r="R97" s="6" t="n">
        <v>0.81480900767149</v>
      </c>
      <c r="S97" s="6" t="n">
        <v>0.009454676521480279</v>
      </c>
      <c r="T97" s="6" t="inlineStr"/>
      <c r="U97" s="6" t="n">
        <v>0.18519099232851</v>
      </c>
      <c r="V97" s="6" t="n">
        <v>18.519099232851</v>
      </c>
      <c r="W97" s="6" t="n">
        <v>12.25</v>
      </c>
      <c r="X97" s="6" t="n">
        <v>2.12275200332635</v>
      </c>
      <c r="Y97" s="6" t="n">
        <v>0.7143068703570473</v>
      </c>
      <c r="Z97" s="6" t="n">
        <v>0.462977480821275</v>
      </c>
      <c r="AA97" s="9">
        <f>P97*(1-R97)*((1-B97)*Q97-B97*'模型说明与假设'!$B$7-'模型说明与假设'!$B$8)</f>
        <v/>
      </c>
      <c r="AB97" s="6" t="b">
        <v>0</v>
      </c>
      <c r="AC97" s="6" t="n">
        <v>0.06428560242731637</v>
      </c>
      <c r="AD97" s="6" t="inlineStr">
        <is>
          <t>A</t>
        </is>
      </c>
      <c r="AE97" s="6" t="n">
        <v>100</v>
      </c>
      <c r="AF97" s="6" t="n">
        <v>0.1225</v>
      </c>
      <c r="AG97" s="6" t="n">
        <v>0.81480900767149</v>
      </c>
      <c r="AH97" s="6" t="n">
        <v>0.9454676521480276</v>
      </c>
    </row>
    <row r="98">
      <c r="A98" s="6" t="inlineStr">
        <is>
          <t>E227</t>
        </is>
      </c>
      <c r="B98" s="6" t="n">
        <v>0.05863772362167648</v>
      </c>
      <c r="C98" s="6" t="inlineStr">
        <is>
          <t>A</t>
        </is>
      </c>
      <c r="D98" s="6" t="n">
        <v>0.7259524106018431</v>
      </c>
      <c r="E98" s="6" t="n">
        <v>0.08278254283160419</v>
      </c>
      <c r="F98" s="6" t="n">
        <v>0.2192910605648171</v>
      </c>
      <c r="G98" s="6" t="n">
        <v>97</v>
      </c>
      <c r="H98" s="6" t="n">
        <v>70</v>
      </c>
      <c r="I98" s="6" t="inlineStr">
        <is>
          <t>***安全技术有限公司</t>
        </is>
      </c>
      <c r="J98" s="6" t="b">
        <v>0</v>
      </c>
      <c r="K98" s="6" t="inlineStr">
        <is>
          <t>正面/轻影响</t>
        </is>
      </c>
      <c r="L98" s="6" t="n">
        <v>0.9</v>
      </c>
      <c r="M98" s="6" t="n">
        <v>0.9</v>
      </c>
      <c r="N98" s="6" t="n">
        <v>0.06473128235250024</v>
      </c>
      <c r="O98" s="6" t="inlineStr">
        <is>
          <t>A</t>
        </is>
      </c>
      <c r="P98" s="6" t="n">
        <v>100</v>
      </c>
      <c r="Q98" s="6" t="n">
        <v>0.1225</v>
      </c>
      <c r="R98" s="6" t="n">
        <v>0.81480900767149</v>
      </c>
      <c r="S98" s="6" t="n">
        <v>0.01021036548419038</v>
      </c>
      <c r="T98" s="6" t="inlineStr"/>
      <c r="U98" s="6" t="n">
        <v>0.18519099232851</v>
      </c>
      <c r="V98" s="6" t="n">
        <v>18.519099232851</v>
      </c>
      <c r="W98" s="6" t="n">
        <v>12.25</v>
      </c>
      <c r="X98" s="6" t="n">
        <v>2.135564722763303</v>
      </c>
      <c r="Y98" s="6" t="n">
        <v>0.6515506935229906</v>
      </c>
      <c r="Z98" s="6" t="n">
        <v>0.462977480821275</v>
      </c>
      <c r="AA98" s="9">
        <f>P98*(1-R98)*((1-B98)*Q98-B98*'模型说明与假设'!$B$7-'模型说明与假设'!$B$8)</f>
        <v/>
      </c>
      <c r="AB98" s="6" t="b">
        <v>0</v>
      </c>
      <c r="AC98" s="6" t="n">
        <v>0.06473128235250024</v>
      </c>
      <c r="AD98" s="6" t="inlineStr">
        <is>
          <t>A</t>
        </is>
      </c>
      <c r="AE98" s="6" t="n">
        <v>100</v>
      </c>
      <c r="AF98" s="6" t="n">
        <v>0.1225</v>
      </c>
      <c r="AG98" s="6" t="n">
        <v>0.81480900767149</v>
      </c>
      <c r="AH98" s="6" t="n">
        <v>0.9395044328235158</v>
      </c>
    </row>
    <row r="99">
      <c r="A99" s="6" t="inlineStr">
        <is>
          <t>E254</t>
        </is>
      </c>
      <c r="B99" s="6" t="n">
        <v>0.06498419368311333</v>
      </c>
      <c r="C99" s="6" t="inlineStr">
        <is>
          <t>A</t>
        </is>
      </c>
      <c r="D99" s="6" t="n">
        <v>0.684405275443544</v>
      </c>
      <c r="E99" s="6" t="n">
        <v>0.1014645092814604</v>
      </c>
      <c r="F99" s="6" t="n">
        <v>0.2200380425246921</v>
      </c>
      <c r="G99" s="6" t="n">
        <v>98</v>
      </c>
      <c r="H99" s="6" t="n">
        <v>141</v>
      </c>
      <c r="I99" s="6" t="inlineStr">
        <is>
          <t>***设备安装工程有限公司</t>
        </is>
      </c>
      <c r="J99" s="6" t="b">
        <v>0</v>
      </c>
      <c r="K99" s="6" t="inlineStr">
        <is>
          <t>其他</t>
        </is>
      </c>
      <c r="L99" s="6" t="n">
        <v>0.3</v>
      </c>
      <c r="M99" s="6" t="n">
        <v>1</v>
      </c>
      <c r="N99" s="6" t="n">
        <v>0.06498419368311333</v>
      </c>
      <c r="O99" s="6" t="inlineStr">
        <is>
          <t>A</t>
        </is>
      </c>
      <c r="P99" s="6" t="n">
        <v>100</v>
      </c>
      <c r="Q99" s="6" t="n">
        <v>0.1225</v>
      </c>
      <c r="R99" s="6" t="n">
        <v>0.81480900767149</v>
      </c>
      <c r="S99" s="6" t="n">
        <v>0.009361204667777543</v>
      </c>
      <c r="T99" s="6" t="inlineStr"/>
      <c r="U99" s="6" t="n">
        <v>0.18519099232851</v>
      </c>
      <c r="V99" s="6" t="n">
        <v>18.519099232851</v>
      </c>
      <c r="W99" s="6" t="n">
        <v>12.25</v>
      </c>
      <c r="X99" s="6" t="n">
        <v>2.12116718642966</v>
      </c>
      <c r="Y99" s="6" t="n">
        <v>0.7220692388306308</v>
      </c>
      <c r="Z99" s="6" t="n">
        <v>0.462977480821275</v>
      </c>
      <c r="AA99" s="9">
        <f>P99*(1-R99)*((1-B99)*Q99-B99*'模型说明与假设'!$B$7-'模型说明与假设'!$B$8)</f>
        <v/>
      </c>
      <c r="AB99" s="6" t="b">
        <v>0</v>
      </c>
      <c r="AC99" s="6" t="n">
        <v>0.06498419368311333</v>
      </c>
      <c r="AD99" s="6" t="inlineStr">
        <is>
          <t>A</t>
        </is>
      </c>
      <c r="AE99" s="6" t="n">
        <v>100</v>
      </c>
      <c r="AF99" s="6" t="n">
        <v>0.1225</v>
      </c>
      <c r="AG99" s="6" t="n">
        <v>0.81480900767149</v>
      </c>
      <c r="AH99" s="6" t="n">
        <v>0.9361204667777543</v>
      </c>
    </row>
    <row r="100">
      <c r="A100" s="6" t="inlineStr">
        <is>
          <t>E277</t>
        </is>
      </c>
      <c r="B100" s="6" t="n">
        <v>0.07417245922716824</v>
      </c>
      <c r="C100" s="6" t="inlineStr">
        <is>
          <t>A</t>
        </is>
      </c>
      <c r="D100" s="6" t="n">
        <v>0.6964810215736015</v>
      </c>
      <c r="E100" s="6" t="n">
        <v>0.0963325987966865</v>
      </c>
      <c r="F100" s="6" t="n">
        <v>0.2210531518279537</v>
      </c>
      <c r="G100" s="6" t="n">
        <v>99</v>
      </c>
      <c r="H100" s="6" t="n">
        <v>119</v>
      </c>
      <c r="I100" s="6" t="inlineStr">
        <is>
          <t>***消防设备制造有限公司</t>
        </is>
      </c>
      <c r="J100" s="6" t="b">
        <v>0</v>
      </c>
      <c r="K100" s="6" t="inlineStr">
        <is>
          <t>中度负面</t>
        </is>
      </c>
      <c r="L100" s="6" t="n">
        <v>0.9</v>
      </c>
      <c r="M100" s="6" t="n">
        <v>1.15</v>
      </c>
      <c r="N100" s="6" t="n">
        <v>0.06512788130018408</v>
      </c>
      <c r="O100" s="6" t="inlineStr">
        <is>
          <t>A</t>
        </is>
      </c>
      <c r="P100" s="6" t="n">
        <v>0</v>
      </c>
      <c r="Q100" s="6" t="n">
        <v>0.1225</v>
      </c>
      <c r="R100" s="6" t="n">
        <v>0.81480900767149</v>
      </c>
      <c r="S100" s="6" t="n">
        <v>0.008131810217748243</v>
      </c>
      <c r="T100" s="6" t="inlineStr"/>
      <c r="U100" s="6" t="n">
        <v>0</v>
      </c>
      <c r="V100" s="6" t="n">
        <v>0</v>
      </c>
      <c r="W100" s="6" t="n">
        <v>0</v>
      </c>
      <c r="X100" s="6" t="n">
        <v>0</v>
      </c>
      <c r="Y100" s="6" t="n">
        <v>0</v>
      </c>
      <c r="Z100" s="6" t="n">
        <v>0</v>
      </c>
      <c r="AA100" s="9">
        <f>P100*(1-R100)*((1-B100)*Q100-B100*'模型说明与假设'!$B$7-'模型说明与假设'!$B$8)</f>
        <v/>
      </c>
      <c r="AB100" s="6" t="b">
        <v>0</v>
      </c>
      <c r="AC100" s="6" t="n">
        <v>0.06512788130018408</v>
      </c>
      <c r="AD100" s="6" t="inlineStr">
        <is>
          <t>A</t>
        </is>
      </c>
      <c r="AE100" s="6" t="n">
        <v>100</v>
      </c>
      <c r="AF100" s="6" t="n">
        <v>0.1225</v>
      </c>
      <c r="AG100" s="6" t="n">
        <v>0.81480900767149</v>
      </c>
      <c r="AH100" s="6" t="n">
        <v>0.9341979193925296</v>
      </c>
    </row>
    <row r="101">
      <c r="A101" s="6" t="inlineStr">
        <is>
          <t>E149</t>
        </is>
      </c>
      <c r="B101" s="6" t="n">
        <v>0.07423779241308588</v>
      </c>
      <c r="C101" s="6" t="inlineStr">
        <is>
          <t>A</t>
        </is>
      </c>
      <c r="D101" s="6" t="n">
        <v>0.7197965511349722</v>
      </c>
      <c r="E101" s="6" t="n">
        <v>0.08932789239128239</v>
      </c>
      <c r="F101" s="6" t="n">
        <v>0.2294686561633753</v>
      </c>
      <c r="G101" s="6" t="n">
        <v>100</v>
      </c>
      <c r="H101" s="6" t="n">
        <v>82</v>
      </c>
      <c r="I101" s="6" t="inlineStr">
        <is>
          <t>***建筑劳务有限公司</t>
        </is>
      </c>
      <c r="J101" s="6" t="b">
        <v>0</v>
      </c>
      <c r="K101" s="6" t="inlineStr">
        <is>
          <t>中度负面</t>
        </is>
      </c>
      <c r="L101" s="6" t="n">
        <v>0.9</v>
      </c>
      <c r="M101" s="6" t="n">
        <v>1.15</v>
      </c>
      <c r="N101" s="6" t="n">
        <v>0.06518580868969882</v>
      </c>
      <c r="O101" s="6" t="inlineStr">
        <is>
          <t>A</t>
        </is>
      </c>
      <c r="P101" s="6" t="n">
        <v>0</v>
      </c>
      <c r="Q101" s="6" t="n">
        <v>0.1225</v>
      </c>
      <c r="R101" s="6" t="n">
        <v>0.81480900767149</v>
      </c>
      <c r="S101" s="6" t="n">
        <v>0.00812306860533132</v>
      </c>
      <c r="T101" s="6" t="inlineStr"/>
      <c r="U101" s="6" t="n">
        <v>0</v>
      </c>
      <c r="V101" s="6" t="n">
        <v>0</v>
      </c>
      <c r="W101" s="6" t="n">
        <v>0</v>
      </c>
      <c r="X101" s="6" t="n">
        <v>0</v>
      </c>
      <c r="Y101" s="6" t="n">
        <v>0</v>
      </c>
      <c r="Z101" s="6" t="n">
        <v>0</v>
      </c>
      <c r="AA101" s="9">
        <f>P101*(1-R101)*((1-B101)*Q101-B101*'模型说明与假设'!$B$7-'模型说明与假设'!$B$8)</f>
        <v/>
      </c>
      <c r="AB101" s="6" t="b">
        <v>0</v>
      </c>
      <c r="AC101" s="6" t="n">
        <v>0.06518580868969882</v>
      </c>
      <c r="AD101" s="6" t="inlineStr">
        <is>
          <t>A</t>
        </is>
      </c>
      <c r="AE101" s="6" t="n">
        <v>100</v>
      </c>
      <c r="AF101" s="6" t="n">
        <v>0.1225</v>
      </c>
      <c r="AG101" s="6" t="n">
        <v>0.81480900767149</v>
      </c>
      <c r="AH101" s="6" t="n">
        <v>0.933422848071042</v>
      </c>
    </row>
    <row r="102">
      <c r="A102" s="6" t="inlineStr">
        <is>
          <t>E229</t>
        </is>
      </c>
      <c r="B102" s="6" t="n">
        <v>0.06579781080501923</v>
      </c>
      <c r="C102" s="6" t="inlineStr">
        <is>
          <t>A</t>
        </is>
      </c>
      <c r="D102" s="6" t="n">
        <v>0.5765201547764007</v>
      </c>
      <c r="E102" s="6" t="n">
        <v>0.1436832417765132</v>
      </c>
      <c r="F102" s="6" t="n">
        <v>0.1956085648988382</v>
      </c>
      <c r="G102" s="6" t="n">
        <v>101</v>
      </c>
      <c r="H102" s="6" t="n">
        <v>245</v>
      </c>
      <c r="I102" s="6" t="inlineStr">
        <is>
          <t>***家贸易有限公司</t>
        </is>
      </c>
      <c r="J102" s="6" t="b">
        <v>0</v>
      </c>
      <c r="K102" s="6" t="inlineStr">
        <is>
          <t>其他</t>
        </is>
      </c>
      <c r="L102" s="6" t="n">
        <v>0.3</v>
      </c>
      <c r="M102" s="6" t="n">
        <v>1</v>
      </c>
      <c r="N102" s="6" t="n">
        <v>0.06579781080501923</v>
      </c>
      <c r="O102" s="6" t="inlineStr">
        <is>
          <t>A</t>
        </is>
      </c>
      <c r="P102" s="6" t="n">
        <v>100</v>
      </c>
      <c r="Q102" s="6" t="n">
        <v>0.1225</v>
      </c>
      <c r="R102" s="6" t="n">
        <v>0.81480900767149</v>
      </c>
      <c r="S102" s="6" t="n">
        <v>0.00925234229660161</v>
      </c>
      <c r="T102" s="6" t="inlineStr"/>
      <c r="U102" s="6" t="n">
        <v>0.18519099232851</v>
      </c>
      <c r="V102" s="6" t="n">
        <v>18.519099232851</v>
      </c>
      <c r="W102" s="6" t="n">
        <v>12.25</v>
      </c>
      <c r="X102" s="6" t="n">
        <v>2.11932142304294</v>
      </c>
      <c r="Y102" s="6" t="n">
        <v>0.731109712561504</v>
      </c>
      <c r="Z102" s="6" t="n">
        <v>0.462977480821275</v>
      </c>
      <c r="AA102" s="9">
        <f>P102*(1-R102)*((1-B102)*Q102-B102*'模型说明与假设'!$B$7-'模型说明与假设'!$B$8)</f>
        <v/>
      </c>
      <c r="AB102" s="6" t="b">
        <v>0</v>
      </c>
      <c r="AC102" s="6" t="n">
        <v>0.06579781080501923</v>
      </c>
      <c r="AD102" s="6" t="inlineStr">
        <is>
          <t>A</t>
        </is>
      </c>
      <c r="AE102" s="6" t="n">
        <v>0</v>
      </c>
      <c r="AF102" s="6" t="n">
        <v>0.1225</v>
      </c>
      <c r="AG102" s="6" t="n">
        <v>0.81480900767149</v>
      </c>
      <c r="AH102" s="6" t="n">
        <v>0</v>
      </c>
    </row>
    <row r="103">
      <c r="A103" s="6" t="inlineStr">
        <is>
          <t>E260</t>
        </is>
      </c>
      <c r="B103" s="6" t="n">
        <v>0.06648884188868563</v>
      </c>
      <c r="C103" s="6" t="inlineStr">
        <is>
          <t>A</t>
        </is>
      </c>
      <c r="D103" s="6" t="n">
        <v>0.745330106838118</v>
      </c>
      <c r="E103" s="6" t="n">
        <v>0.07544776254148441</v>
      </c>
      <c r="F103" s="6" t="n">
        <v>0.2208093317100363</v>
      </c>
      <c r="G103" s="6" t="n">
        <v>102</v>
      </c>
      <c r="H103" s="6" t="n">
        <v>44</v>
      </c>
      <c r="I103" s="6" t="inlineStr">
        <is>
          <t>***广告有限公司</t>
        </is>
      </c>
      <c r="J103" s="6" t="b">
        <v>0</v>
      </c>
      <c r="K103" s="6" t="inlineStr">
        <is>
          <t>其他</t>
        </is>
      </c>
      <c r="L103" s="6" t="n">
        <v>0.3</v>
      </c>
      <c r="M103" s="6" t="n">
        <v>1</v>
      </c>
      <c r="N103" s="6" t="n">
        <v>0.06648884188868563</v>
      </c>
      <c r="O103" s="6" t="inlineStr">
        <is>
          <t>A</t>
        </is>
      </c>
      <c r="P103" s="6" t="n">
        <v>100</v>
      </c>
      <c r="Q103" s="6" t="n">
        <v>0.1225</v>
      </c>
      <c r="R103" s="6" t="n">
        <v>0.81480900767149</v>
      </c>
      <c r="S103" s="6" t="n">
        <v>0.009159881997649227</v>
      </c>
      <c r="T103" s="6" t="inlineStr"/>
      <c r="U103" s="6" t="n">
        <v>0.18519099232851</v>
      </c>
      <c r="V103" s="6" t="n">
        <v>18.519099232851</v>
      </c>
      <c r="W103" s="6" t="n">
        <v>12.25</v>
      </c>
      <c r="X103" s="6" t="n">
        <v>2.117753757074543</v>
      </c>
      <c r="Y103" s="6" t="n">
        <v>0.7387880764883455</v>
      </c>
      <c r="Z103" s="6" t="n">
        <v>0.462977480821275</v>
      </c>
      <c r="AA103" s="9">
        <f>P103*(1-R103)*((1-B103)*Q103-B103*'模型说明与假设'!$B$7-'模型说明与假设'!$B$8)</f>
        <v/>
      </c>
      <c r="AB103" s="6" t="b">
        <v>0</v>
      </c>
      <c r="AC103" s="6" t="n">
        <v>0.06648884188868563</v>
      </c>
      <c r="AD103" s="6" t="inlineStr">
        <is>
          <t>A</t>
        </is>
      </c>
      <c r="AE103" s="6" t="n">
        <v>0</v>
      </c>
      <c r="AF103" s="6" t="n">
        <v>0.1225</v>
      </c>
      <c r="AG103" s="6" t="n">
        <v>0.81480900767149</v>
      </c>
      <c r="AH103" s="6" t="n">
        <v>0</v>
      </c>
    </row>
    <row r="104">
      <c r="A104" s="6" t="inlineStr">
        <is>
          <t>E163</t>
        </is>
      </c>
      <c r="B104" s="6" t="n">
        <v>0.07665596350478128</v>
      </c>
      <c r="C104" s="6" t="inlineStr">
        <is>
          <t>A</t>
        </is>
      </c>
      <c r="D104" s="6" t="n">
        <v>0.7091214895155092</v>
      </c>
      <c r="E104" s="6" t="n">
        <v>0.0916167232276875</v>
      </c>
      <c r="F104" s="6" t="n">
        <v>0.223348872116876</v>
      </c>
      <c r="G104" s="6" t="n">
        <v>103</v>
      </c>
      <c r="H104" s="6" t="n">
        <v>101</v>
      </c>
      <c r="I104" s="6" t="inlineStr">
        <is>
          <t>***物流有限公司</t>
        </is>
      </c>
      <c r="J104" s="6" t="b">
        <v>0</v>
      </c>
      <c r="K104" s="6" t="inlineStr">
        <is>
          <t>中度负面</t>
        </is>
      </c>
      <c r="L104" s="6" t="n">
        <v>0.9</v>
      </c>
      <c r="M104" s="6" t="n">
        <v>1.15</v>
      </c>
      <c r="N104" s="6" t="n">
        <v>0.06733057128439231</v>
      </c>
      <c r="O104" s="6" t="inlineStr">
        <is>
          <t>A</t>
        </is>
      </c>
      <c r="P104" s="6" t="n">
        <v>0</v>
      </c>
      <c r="Q104" s="6" t="n">
        <v>0.1225</v>
      </c>
      <c r="R104" s="6" t="n">
        <v>0.81480900767149</v>
      </c>
      <c r="S104" s="6" t="n">
        <v>0.007799516123625437</v>
      </c>
      <c r="T104" s="6" t="inlineStr"/>
      <c r="U104" s="6" t="n">
        <v>0</v>
      </c>
      <c r="V104" s="6" t="n">
        <v>0</v>
      </c>
      <c r="W104" s="6" t="n">
        <v>0</v>
      </c>
      <c r="X104" s="6" t="n">
        <v>0</v>
      </c>
      <c r="Y104" s="6" t="n">
        <v>0</v>
      </c>
      <c r="Z104" s="6" t="n">
        <v>0</v>
      </c>
      <c r="AA104" s="9">
        <f>P104*(1-R104)*((1-B104)*Q104-B104*'模型说明与假设'!$B$7-'模型说明与假设'!$B$8)</f>
        <v/>
      </c>
      <c r="AB104" s="6" t="b">
        <v>0</v>
      </c>
      <c r="AC104" s="6" t="n">
        <v>0.06733057128439231</v>
      </c>
      <c r="AD104" s="6" t="inlineStr">
        <is>
          <t>A</t>
        </is>
      </c>
      <c r="AE104" s="6" t="n">
        <v>0</v>
      </c>
      <c r="AF104" s="6" t="n">
        <v>0.1225</v>
      </c>
      <c r="AG104" s="6" t="n">
        <v>0.81480900767149</v>
      </c>
      <c r="AH104" s="6" t="n">
        <v>0</v>
      </c>
    </row>
    <row r="105">
      <c r="A105" s="6" t="inlineStr">
        <is>
          <t>E137</t>
        </is>
      </c>
      <c r="B105" s="6" t="n">
        <v>0.07672840855000086</v>
      </c>
      <c r="C105" s="6" t="inlineStr">
        <is>
          <t>A</t>
        </is>
      </c>
      <c r="D105" s="6" t="n">
        <v>0.7255405065864141</v>
      </c>
      <c r="E105" s="6" t="n">
        <v>0.08437083047412897</v>
      </c>
      <c r="F105" s="6" t="n">
        <v>0.2230363917165412</v>
      </c>
      <c r="G105" s="6" t="n">
        <v>104</v>
      </c>
      <c r="H105" s="6" t="n">
        <v>73</v>
      </c>
      <c r="I105" s="6" t="inlineStr">
        <is>
          <t>***建设工程有限公司</t>
        </is>
      </c>
      <c r="J105" s="6" t="b">
        <v>0</v>
      </c>
      <c r="K105" s="6" t="inlineStr">
        <is>
          <t>中度负面</t>
        </is>
      </c>
      <c r="L105" s="6" t="n">
        <v>0.9</v>
      </c>
      <c r="M105" s="6" t="n">
        <v>1.15</v>
      </c>
      <c r="N105" s="6" t="n">
        <v>0.06739484647581304</v>
      </c>
      <c r="O105" s="6" t="inlineStr">
        <is>
          <t>A</t>
        </is>
      </c>
      <c r="P105" s="6" t="n">
        <v>0</v>
      </c>
      <c r="Q105" s="6" t="n">
        <v>0.1225</v>
      </c>
      <c r="R105" s="6" t="n">
        <v>0.81480900767149</v>
      </c>
      <c r="S105" s="6" t="n">
        <v>0.007789822940935186</v>
      </c>
      <c r="T105" s="6" t="inlineStr"/>
      <c r="U105" s="6" t="n">
        <v>0</v>
      </c>
      <c r="V105" s="6" t="n">
        <v>0</v>
      </c>
      <c r="W105" s="6" t="n">
        <v>0</v>
      </c>
      <c r="X105" s="6" t="n">
        <v>0</v>
      </c>
      <c r="Y105" s="6" t="n">
        <v>0</v>
      </c>
      <c r="Z105" s="6" t="n">
        <v>0</v>
      </c>
      <c r="AA105" s="9">
        <f>P105*(1-R105)*((1-B105)*Q105-B105*'模型说明与假设'!$B$7-'模型说明与假设'!$B$8)</f>
        <v/>
      </c>
      <c r="AB105" s="6" t="b">
        <v>0</v>
      </c>
      <c r="AC105" s="6" t="n">
        <v>0.06739484647581304</v>
      </c>
      <c r="AD105" s="6" t="inlineStr">
        <is>
          <t>A</t>
        </is>
      </c>
      <c r="AE105" s="6" t="n">
        <v>0</v>
      </c>
      <c r="AF105" s="6" t="n">
        <v>0.1225</v>
      </c>
      <c r="AG105" s="6" t="n">
        <v>0.81480900767149</v>
      </c>
      <c r="AH105" s="6" t="n">
        <v>0</v>
      </c>
    </row>
    <row r="106">
      <c r="A106" s="6" t="inlineStr">
        <is>
          <t>E151</t>
        </is>
      </c>
      <c r="B106" s="6" t="n">
        <v>0.06745514201961816</v>
      </c>
      <c r="C106" s="6" t="inlineStr">
        <is>
          <t>A</t>
        </is>
      </c>
      <c r="D106" s="6" t="n">
        <v>0.6986737929679271</v>
      </c>
      <c r="E106" s="6" t="n">
        <v>0.09628846588023819</v>
      </c>
      <c r="F106" s="6" t="n">
        <v>0.2232604602773507</v>
      </c>
      <c r="G106" s="6" t="n">
        <v>105</v>
      </c>
      <c r="H106" s="6" t="n">
        <v>114</v>
      </c>
      <c r="I106" s="6" t="inlineStr">
        <is>
          <t>***路桥工程有限公司</t>
        </is>
      </c>
      <c r="J106" s="6" t="b">
        <v>0</v>
      </c>
      <c r="K106" s="6" t="inlineStr">
        <is>
          <t>其他</t>
        </is>
      </c>
      <c r="L106" s="6" t="n">
        <v>0.3</v>
      </c>
      <c r="M106" s="6" t="n">
        <v>1</v>
      </c>
      <c r="N106" s="6" t="n">
        <v>0.06745514201961816</v>
      </c>
      <c r="O106" s="6" t="inlineStr">
        <is>
          <t>A</t>
        </is>
      </c>
      <c r="P106" s="6" t="n">
        <v>100</v>
      </c>
      <c r="Q106" s="6" t="n">
        <v>0.1225</v>
      </c>
      <c r="R106" s="6" t="n">
        <v>0.81480900767149</v>
      </c>
      <c r="S106" s="6" t="n">
        <v>0.009030590564752005</v>
      </c>
      <c r="T106" s="6" t="inlineStr"/>
      <c r="U106" s="6" t="n">
        <v>0.18519099232851</v>
      </c>
      <c r="V106" s="6" t="n">
        <v>18.519099232851</v>
      </c>
      <c r="W106" s="6" t="n">
        <v>12.25</v>
      </c>
      <c r="X106" s="6" t="n">
        <v>2.115561618592895</v>
      </c>
      <c r="Y106" s="6" t="n">
        <v>0.7495250812964195</v>
      </c>
      <c r="Z106" s="6" t="n">
        <v>0.462977480821275</v>
      </c>
      <c r="AA106" s="9">
        <f>P106*(1-R106)*((1-B106)*Q106-B106*'模型说明与假设'!$B$7-'模型说明与假设'!$B$8)</f>
        <v/>
      </c>
      <c r="AB106" s="6" t="b">
        <v>0</v>
      </c>
      <c r="AC106" s="6" t="n">
        <v>0.06745514201961816</v>
      </c>
      <c r="AD106" s="6" t="inlineStr">
        <is>
          <t>A</t>
        </is>
      </c>
      <c r="AE106" s="6" t="n">
        <v>0</v>
      </c>
      <c r="AF106" s="6" t="n">
        <v>0.1225</v>
      </c>
      <c r="AG106" s="6" t="n">
        <v>0.81480900767149</v>
      </c>
      <c r="AH106" s="6" t="n">
        <v>0</v>
      </c>
    </row>
    <row r="107">
      <c r="A107" s="6" t="inlineStr">
        <is>
          <t>E284</t>
        </is>
      </c>
      <c r="B107" s="6" t="n">
        <v>0.06154021373287238</v>
      </c>
      <c r="C107" s="6" t="inlineStr">
        <is>
          <t>A</t>
        </is>
      </c>
      <c r="D107" s="6" t="n">
        <v>0.7159075445442463</v>
      </c>
      <c r="E107" s="6" t="n">
        <v>0.08758906314780301</v>
      </c>
      <c r="F107" s="6" t="n">
        <v>0.2207227609282315</v>
      </c>
      <c r="G107" s="6" t="n">
        <v>106</v>
      </c>
      <c r="H107" s="6" t="n">
        <v>88</v>
      </c>
      <c r="I107" s="6" t="inlineStr">
        <is>
          <t>***成焊科技有限公司</t>
        </is>
      </c>
      <c r="J107" s="6" t="b">
        <v>0</v>
      </c>
      <c r="K107" s="6" t="inlineStr">
        <is>
          <t>正面/轻影响</t>
        </is>
      </c>
      <c r="L107" s="6" t="n">
        <v>0.9</v>
      </c>
      <c r="M107" s="6" t="n">
        <v>0.9</v>
      </c>
      <c r="N107" s="6" t="n">
        <v>0.06791363529966732</v>
      </c>
      <c r="O107" s="6" t="inlineStr">
        <is>
          <t>A</t>
        </is>
      </c>
      <c r="P107" s="6" t="n">
        <v>100</v>
      </c>
      <c r="Q107" s="6" t="n">
        <v>0.1225</v>
      </c>
      <c r="R107" s="6" t="n">
        <v>0.81480900767149</v>
      </c>
      <c r="S107" s="6" t="n">
        <v>0.009822010879411031</v>
      </c>
      <c r="T107" s="6" t="inlineStr"/>
      <c r="U107" s="6" t="n">
        <v>0.18519099232851</v>
      </c>
      <c r="V107" s="6" t="n">
        <v>18.519099232851</v>
      </c>
      <c r="W107" s="6" t="n">
        <v>12.25</v>
      </c>
      <c r="X107" s="6" t="n">
        <v>2.128980163720332</v>
      </c>
      <c r="Y107" s="6" t="n">
        <v>0.6838015949579539</v>
      </c>
      <c r="Z107" s="6" t="n">
        <v>0.462977480821275</v>
      </c>
      <c r="AA107" s="9">
        <f>P107*(1-R107)*((1-B107)*Q107-B107*'模型说明与假设'!$B$7-'模型说明与假设'!$B$8)</f>
        <v/>
      </c>
      <c r="AB107" s="6" t="b">
        <v>0</v>
      </c>
      <c r="AC107" s="6" t="n">
        <v>0.06791363529966732</v>
      </c>
      <c r="AD107" s="6" t="inlineStr">
        <is>
          <t>A</t>
        </is>
      </c>
      <c r="AE107" s="6" t="n">
        <v>0</v>
      </c>
      <c r="AF107" s="6" t="n">
        <v>0.1225</v>
      </c>
      <c r="AG107" s="6" t="n">
        <v>0.81480900767149</v>
      </c>
      <c r="AH107" s="6" t="n">
        <v>0</v>
      </c>
    </row>
    <row r="108">
      <c r="A108" s="6" t="inlineStr">
        <is>
          <t>E202</t>
        </is>
      </c>
      <c r="B108" s="6" t="n">
        <v>0.06991740527255512</v>
      </c>
      <c r="C108" s="6" t="inlineStr">
        <is>
          <t>A</t>
        </is>
      </c>
      <c r="D108" s="6" t="n">
        <v>0.6792725182896309</v>
      </c>
      <c r="E108" s="6" t="n">
        <v>0.1074010330506843</v>
      </c>
      <c r="F108" s="6" t="n">
        <v>0.2274659152941789</v>
      </c>
      <c r="G108" s="6" t="n">
        <v>107</v>
      </c>
      <c r="H108" s="6" t="n">
        <v>147</v>
      </c>
      <c r="I108" s="6" t="inlineStr">
        <is>
          <t xml:space="preserve">个体经营E202 </t>
        </is>
      </c>
      <c r="J108" s="6" t="b">
        <v>0</v>
      </c>
      <c r="K108" s="6" t="inlineStr">
        <is>
          <t>未知</t>
        </is>
      </c>
      <c r="L108" s="6" t="n">
        <v>0</v>
      </c>
      <c r="M108" s="6" t="n">
        <v>1</v>
      </c>
      <c r="N108" s="6" t="n">
        <v>0.06991740527255513</v>
      </c>
      <c r="O108" s="6" t="inlineStr">
        <is>
          <t>A</t>
        </is>
      </c>
      <c r="P108" s="6" t="n">
        <v>0</v>
      </c>
      <c r="Q108" s="6" t="n">
        <v>0.1225</v>
      </c>
      <c r="R108" s="6" t="n">
        <v>0.81480900767149</v>
      </c>
      <c r="S108" s="6" t="n">
        <v>0.008701138530180539</v>
      </c>
      <c r="T108" s="6" t="inlineStr"/>
      <c r="U108" s="6" t="n">
        <v>0</v>
      </c>
      <c r="V108" s="6" t="n">
        <v>0</v>
      </c>
      <c r="W108" s="6" t="n">
        <v>0</v>
      </c>
      <c r="X108" s="6" t="n">
        <v>0</v>
      </c>
      <c r="Y108" s="6" t="n">
        <v>0</v>
      </c>
      <c r="Z108" s="6" t="n">
        <v>0</v>
      </c>
      <c r="AA108" s="9">
        <f>P108*(1-R108)*((1-B108)*Q108-B108*'模型说明与假设'!$B$7-'模型说明与假设'!$B$8)</f>
        <v/>
      </c>
      <c r="AB108" s="6" t="b">
        <v>0</v>
      </c>
      <c r="AC108" s="6" t="n">
        <v>0.06991740527255513</v>
      </c>
      <c r="AD108" s="6" t="inlineStr">
        <is>
          <t>A</t>
        </is>
      </c>
      <c r="AE108" s="6" t="n">
        <v>0</v>
      </c>
      <c r="AF108" s="6" t="n">
        <v>0.1225</v>
      </c>
      <c r="AG108" s="6" t="n">
        <v>0.81480900767149</v>
      </c>
      <c r="AH108" s="6" t="n">
        <v>0</v>
      </c>
    </row>
    <row r="109">
      <c r="A109" s="6" t="inlineStr">
        <is>
          <t>E183</t>
        </is>
      </c>
      <c r="B109" s="6" t="n">
        <v>0.08035449268225558</v>
      </c>
      <c r="C109" s="6" t="inlineStr">
        <is>
          <t>A</t>
        </is>
      </c>
      <c r="D109" s="6" t="n">
        <v>0.7176970168959137</v>
      </c>
      <c r="E109" s="6" t="n">
        <v>0.08798545760422559</v>
      </c>
      <c r="F109" s="6" t="n">
        <v>0.2236848500800009</v>
      </c>
      <c r="G109" s="6" t="n">
        <v>108</v>
      </c>
      <c r="H109" s="6" t="n">
        <v>84</v>
      </c>
      <c r="I109" s="6" t="inlineStr">
        <is>
          <t>***建设工程有限公司</t>
        </is>
      </c>
      <c r="J109" s="6" t="b">
        <v>0</v>
      </c>
      <c r="K109" s="6" t="inlineStr">
        <is>
          <t>中度负面</t>
        </is>
      </c>
      <c r="L109" s="6" t="n">
        <v>0.9</v>
      </c>
      <c r="M109" s="6" t="n">
        <v>1.15</v>
      </c>
      <c r="N109" s="6" t="n">
        <v>0.07061357423686805</v>
      </c>
      <c r="O109" s="6" t="inlineStr">
        <is>
          <t>A</t>
        </is>
      </c>
      <c r="P109" s="6" t="n">
        <v>0</v>
      </c>
      <c r="Q109" s="6" t="n">
        <v>0.1225</v>
      </c>
      <c r="R109" s="6" t="n">
        <v>0.81480900767149</v>
      </c>
      <c r="S109" s="6" t="n">
        <v>0.007304651100160767</v>
      </c>
      <c r="T109" s="6" t="inlineStr"/>
      <c r="U109" s="6" t="n">
        <v>0</v>
      </c>
      <c r="V109" s="6" t="n">
        <v>0</v>
      </c>
      <c r="W109" s="6" t="n">
        <v>0</v>
      </c>
      <c r="X109" s="6" t="n">
        <v>0</v>
      </c>
      <c r="Y109" s="6" t="n">
        <v>0</v>
      </c>
      <c r="Z109" s="6" t="n">
        <v>0</v>
      </c>
      <c r="AA109" s="9">
        <f>P109*(1-R109)*((1-B109)*Q109-B109*'模型说明与假设'!$B$7-'模型说明与假设'!$B$8)</f>
        <v/>
      </c>
      <c r="AB109" s="6" t="b">
        <v>0</v>
      </c>
      <c r="AC109" s="6" t="n">
        <v>0.07061357423686805</v>
      </c>
      <c r="AD109" s="6" t="inlineStr">
        <is>
          <t>A</t>
        </is>
      </c>
      <c r="AE109" s="6" t="n">
        <v>0</v>
      </c>
      <c r="AF109" s="6" t="n">
        <v>0.1225</v>
      </c>
      <c r="AG109" s="6" t="n">
        <v>0.81480900767149</v>
      </c>
      <c r="AH109" s="6" t="n">
        <v>0</v>
      </c>
    </row>
    <row r="110">
      <c r="A110" s="6" t="inlineStr">
        <is>
          <t>E208</t>
        </is>
      </c>
      <c r="B110" s="6" t="n">
        <v>0.07103184395003138</v>
      </c>
      <c r="C110" s="6" t="inlineStr">
        <is>
          <t>A</t>
        </is>
      </c>
      <c r="D110" s="6" t="n">
        <v>0.5751387462361444</v>
      </c>
      <c r="E110" s="6" t="n">
        <v>0.1409030264635907</v>
      </c>
      <c r="F110" s="6" t="n">
        <v>0.1907417757284839</v>
      </c>
      <c r="G110" s="6" t="n">
        <v>109</v>
      </c>
      <c r="H110" s="6" t="n">
        <v>246</v>
      </c>
      <c r="I110" s="6" t="inlineStr">
        <is>
          <t xml:space="preserve">个体经营E208 </t>
        </is>
      </c>
      <c r="J110" s="6" t="b">
        <v>0</v>
      </c>
      <c r="K110" s="6" t="inlineStr">
        <is>
          <t>未知</t>
        </is>
      </c>
      <c r="L110" s="6" t="n">
        <v>0</v>
      </c>
      <c r="M110" s="6" t="n">
        <v>1</v>
      </c>
      <c r="N110" s="6" t="n">
        <v>0.07103184395003137</v>
      </c>
      <c r="O110" s="6" t="inlineStr">
        <is>
          <t>A</t>
        </is>
      </c>
      <c r="P110" s="6" t="n">
        <v>0</v>
      </c>
      <c r="Q110" s="6" t="n">
        <v>0.1225</v>
      </c>
      <c r="R110" s="6" t="n">
        <v>0.81480900767149</v>
      </c>
      <c r="S110" s="6" t="n">
        <v>0.008552026086877919</v>
      </c>
      <c r="T110" s="6" t="inlineStr"/>
      <c r="U110" s="6" t="n">
        <v>0</v>
      </c>
      <c r="V110" s="6" t="n">
        <v>0</v>
      </c>
      <c r="W110" s="6" t="n">
        <v>0</v>
      </c>
      <c r="X110" s="6" t="n">
        <v>0</v>
      </c>
      <c r="Y110" s="6" t="n">
        <v>0</v>
      </c>
      <c r="Z110" s="6" t="n">
        <v>0</v>
      </c>
      <c r="AA110" s="9">
        <f>P110*(1-R110)*((1-B110)*Q110-B110*'模型说明与假设'!$B$7-'模型说明与假设'!$B$8)</f>
        <v/>
      </c>
      <c r="AB110" s="6" t="b">
        <v>0</v>
      </c>
      <c r="AC110" s="6" t="n">
        <v>0.07103184395003137</v>
      </c>
      <c r="AD110" s="6" t="inlineStr">
        <is>
          <t>A</t>
        </is>
      </c>
      <c r="AE110" s="6" t="n">
        <v>0</v>
      </c>
      <c r="AF110" s="6" t="n">
        <v>0.1225</v>
      </c>
      <c r="AG110" s="6" t="n">
        <v>0.81480900767149</v>
      </c>
      <c r="AH110" s="6" t="n">
        <v>0</v>
      </c>
    </row>
    <row r="111">
      <c r="A111" s="6" t="inlineStr">
        <is>
          <t>E290</t>
        </is>
      </c>
      <c r="B111" s="6" t="n">
        <v>0.07133833113971774</v>
      </c>
      <c r="C111" s="6" t="inlineStr">
        <is>
          <t>A</t>
        </is>
      </c>
      <c r="D111" s="6" t="n">
        <v>0.7206930733757143</v>
      </c>
      <c r="E111" s="6" t="n">
        <v>0.08648294744077412</v>
      </c>
      <c r="F111" s="6" t="n">
        <v>0.223151147517093</v>
      </c>
      <c r="G111" s="6" t="n">
        <v>110</v>
      </c>
      <c r="H111" s="6" t="n">
        <v>80</v>
      </c>
      <c r="I111" s="6" t="inlineStr">
        <is>
          <t>***机电有限公司</t>
        </is>
      </c>
      <c r="J111" s="6" t="b">
        <v>0</v>
      </c>
      <c r="K111" s="6" t="inlineStr">
        <is>
          <t>其他</t>
        </is>
      </c>
      <c r="L111" s="6" t="n">
        <v>0.3</v>
      </c>
      <c r="M111" s="6" t="n">
        <v>1</v>
      </c>
      <c r="N111" s="6" t="n">
        <v>0.07133833113971774</v>
      </c>
      <c r="O111" s="6" t="inlineStr">
        <is>
          <t>A</t>
        </is>
      </c>
      <c r="P111" s="6" t="n">
        <v>0</v>
      </c>
      <c r="Q111" s="6" t="n">
        <v>0.1225</v>
      </c>
      <c r="R111" s="6" t="n">
        <v>0.81480900767149</v>
      </c>
      <c r="S111" s="6" t="n">
        <v>0.008511017950119257</v>
      </c>
      <c r="T111" s="6" t="inlineStr"/>
      <c r="U111" s="6" t="n">
        <v>0</v>
      </c>
      <c r="V111" s="6" t="n">
        <v>0</v>
      </c>
      <c r="W111" s="6" t="n">
        <v>0</v>
      </c>
      <c r="X111" s="6" t="n">
        <v>0</v>
      </c>
      <c r="Y111" s="6" t="n">
        <v>0</v>
      </c>
      <c r="Z111" s="6" t="n">
        <v>0</v>
      </c>
      <c r="AA111" s="9">
        <f>P111*(1-R111)*((1-B111)*Q111-B111*'模型说明与假设'!$B$7-'模型说明与假设'!$B$8)</f>
        <v/>
      </c>
      <c r="AB111" s="6" t="b">
        <v>0</v>
      </c>
      <c r="AC111" s="6" t="n">
        <v>0.07133833113971774</v>
      </c>
      <c r="AD111" s="6" t="inlineStr">
        <is>
          <t>A</t>
        </is>
      </c>
      <c r="AE111" s="6" t="n">
        <v>0</v>
      </c>
      <c r="AF111" s="6" t="n">
        <v>0.1225</v>
      </c>
      <c r="AG111" s="6" t="n">
        <v>0.81480900767149</v>
      </c>
      <c r="AH111" s="6" t="n">
        <v>0</v>
      </c>
    </row>
    <row r="112">
      <c r="A112" s="6" t="inlineStr">
        <is>
          <t>E201</t>
        </is>
      </c>
      <c r="B112" s="6" t="n">
        <v>0.0814417497164968</v>
      </c>
      <c r="C112" s="6" t="inlineStr">
        <is>
          <t>A</t>
        </is>
      </c>
      <c r="D112" s="6" t="n">
        <v>0.7362653473171996</v>
      </c>
      <c r="E112" s="6" t="n">
        <v>0.0781962013419487</v>
      </c>
      <c r="F112" s="6" t="n">
        <v>0.2182995399135512</v>
      </c>
      <c r="G112" s="6" t="n">
        <v>111</v>
      </c>
      <c r="H112" s="6" t="n">
        <v>57</v>
      </c>
      <c r="I112" s="6" t="inlineStr">
        <is>
          <t>***物流有限责任公司</t>
        </is>
      </c>
      <c r="J112" s="6" t="b">
        <v>0</v>
      </c>
      <c r="K112" s="6" t="inlineStr">
        <is>
          <t>中度负面</t>
        </is>
      </c>
      <c r="L112" s="6" t="n">
        <v>0.9</v>
      </c>
      <c r="M112" s="6" t="n">
        <v>1.15</v>
      </c>
      <c r="N112" s="6" t="n">
        <v>0.07157928789912314</v>
      </c>
      <c r="O112" s="6" t="inlineStr">
        <is>
          <t>A</t>
        </is>
      </c>
      <c r="P112" s="6" t="n">
        <v>0</v>
      </c>
      <c r="Q112" s="6" t="n">
        <v>0.1225</v>
      </c>
      <c r="R112" s="6" t="n">
        <v>0.81480900767149</v>
      </c>
      <c r="S112" s="6" t="n">
        <v>0.007159175574095209</v>
      </c>
      <c r="T112" s="6" t="inlineStr"/>
      <c r="U112" s="6" t="n">
        <v>0</v>
      </c>
      <c r="V112" s="6" t="n">
        <v>0</v>
      </c>
      <c r="W112" s="6" t="n">
        <v>0</v>
      </c>
      <c r="X112" s="6" t="n">
        <v>0</v>
      </c>
      <c r="Y112" s="6" t="n">
        <v>0</v>
      </c>
      <c r="Z112" s="6" t="n">
        <v>0</v>
      </c>
      <c r="AA112" s="9">
        <f>P112*(1-R112)*((1-B112)*Q112-B112*'模型说明与假设'!$B$7-'模型说明与假设'!$B$8)</f>
        <v/>
      </c>
      <c r="AB112" s="6" t="b">
        <v>0</v>
      </c>
      <c r="AC112" s="6" t="n">
        <v>0.07157928789912314</v>
      </c>
      <c r="AD112" s="6" t="inlineStr">
        <is>
          <t>A</t>
        </is>
      </c>
      <c r="AE112" s="6" t="n">
        <v>0</v>
      </c>
      <c r="AF112" s="6" t="n">
        <v>0.1225</v>
      </c>
      <c r="AG112" s="6" t="n">
        <v>0.81480900767149</v>
      </c>
      <c r="AH112" s="6" t="n">
        <v>0</v>
      </c>
    </row>
    <row r="113">
      <c r="A113" s="6" t="inlineStr">
        <is>
          <t>E266</t>
        </is>
      </c>
      <c r="B113" s="6" t="n">
        <v>0.07222526767498058</v>
      </c>
      <c r="C113" s="6" t="inlineStr">
        <is>
          <t>A</t>
        </is>
      </c>
      <c r="D113" s="6" t="n">
        <v>0.6838951620686941</v>
      </c>
      <c r="E113" s="6" t="n">
        <v>0.1026179972751995</v>
      </c>
      <c r="F113" s="6" t="n">
        <v>0.2220147984351271</v>
      </c>
      <c r="G113" s="6" t="n">
        <v>112</v>
      </c>
      <c r="H113" s="6" t="n">
        <v>142</v>
      </c>
      <c r="I113" s="6" t="inlineStr">
        <is>
          <t>***煤矿机械有限公司</t>
        </is>
      </c>
      <c r="J113" s="6" t="b">
        <v>0</v>
      </c>
      <c r="K113" s="6" t="inlineStr">
        <is>
          <t>其他</t>
        </is>
      </c>
      <c r="L113" s="6" t="n">
        <v>0.3</v>
      </c>
      <c r="M113" s="6" t="n">
        <v>1</v>
      </c>
      <c r="N113" s="6" t="n">
        <v>0.07222526767498058</v>
      </c>
      <c r="O113" s="6" t="inlineStr">
        <is>
          <t>A</t>
        </is>
      </c>
      <c r="P113" s="6" t="n">
        <v>0</v>
      </c>
      <c r="Q113" s="6" t="n">
        <v>0.1225</v>
      </c>
      <c r="R113" s="6" t="n">
        <v>0.81480900767149</v>
      </c>
      <c r="S113" s="6" t="n">
        <v>0.008392345405366144</v>
      </c>
      <c r="T113" s="6" t="inlineStr"/>
      <c r="U113" s="6" t="n">
        <v>0</v>
      </c>
      <c r="V113" s="6" t="n">
        <v>0</v>
      </c>
      <c r="W113" s="6" t="n">
        <v>0</v>
      </c>
      <c r="X113" s="6" t="n">
        <v>0</v>
      </c>
      <c r="Y113" s="6" t="n">
        <v>0</v>
      </c>
      <c r="Z113" s="6" t="n">
        <v>0</v>
      </c>
      <c r="AA113" s="9">
        <f>P113*(1-R113)*((1-B113)*Q113-B113*'模型说明与假设'!$B$7-'模型说明与假设'!$B$8)</f>
        <v/>
      </c>
      <c r="AB113" s="6" t="b">
        <v>0</v>
      </c>
      <c r="AC113" s="6" t="n">
        <v>0.07222526767498058</v>
      </c>
      <c r="AD113" s="6" t="inlineStr">
        <is>
          <t>A</t>
        </is>
      </c>
      <c r="AE113" s="6" t="n">
        <v>0</v>
      </c>
      <c r="AF113" s="6" t="n">
        <v>0.1225</v>
      </c>
      <c r="AG113" s="6" t="n">
        <v>0.81480900767149</v>
      </c>
      <c r="AH113" s="6" t="n">
        <v>0</v>
      </c>
    </row>
    <row r="114">
      <c r="A114" s="6" t="inlineStr">
        <is>
          <t>E153</t>
        </is>
      </c>
      <c r="B114" s="6" t="n">
        <v>0.07227790348963145</v>
      </c>
      <c r="C114" s="6" t="inlineStr">
        <is>
          <t>A</t>
        </is>
      </c>
      <c r="D114" s="6" t="n">
        <v>0.6457118808078597</v>
      </c>
      <c r="E114" s="6" t="n">
        <v>0.1212034979219187</v>
      </c>
      <c r="F114" s="6" t="n">
        <v>0.2209008272196949</v>
      </c>
      <c r="G114" s="6" t="n">
        <v>113</v>
      </c>
      <c r="H114" s="6" t="n">
        <v>183</v>
      </c>
      <c r="I114" s="6" t="inlineStr">
        <is>
          <t xml:space="preserve">个体经营E153 </t>
        </is>
      </c>
      <c r="J114" s="6" t="b">
        <v>0</v>
      </c>
      <c r="K114" s="6" t="inlineStr">
        <is>
          <t>未知</t>
        </is>
      </c>
      <c r="L114" s="6" t="n">
        <v>0</v>
      </c>
      <c r="M114" s="6" t="n">
        <v>1</v>
      </c>
      <c r="N114" s="6" t="n">
        <v>0.07227790348963145</v>
      </c>
      <c r="O114" s="6" t="inlineStr">
        <is>
          <t>A</t>
        </is>
      </c>
      <c r="P114" s="6" t="n">
        <v>0</v>
      </c>
      <c r="Q114" s="6" t="n">
        <v>0.1225</v>
      </c>
      <c r="R114" s="6" t="n">
        <v>0.81480900767149</v>
      </c>
      <c r="S114" s="6" t="n">
        <v>0.00838530270747128</v>
      </c>
      <c r="T114" s="6" t="inlineStr"/>
      <c r="U114" s="6" t="n">
        <v>0</v>
      </c>
      <c r="V114" s="6" t="n">
        <v>0</v>
      </c>
      <c r="W114" s="6" t="n">
        <v>0</v>
      </c>
      <c r="X114" s="6" t="n">
        <v>0</v>
      </c>
      <c r="Y114" s="6" t="n">
        <v>0</v>
      </c>
      <c r="Z114" s="6" t="n">
        <v>0</v>
      </c>
      <c r="AA114" s="9">
        <f>P114*(1-R114)*((1-B114)*Q114-B114*'模型说明与假设'!$B$7-'模型说明与假设'!$B$8)</f>
        <v/>
      </c>
      <c r="AB114" s="6" t="b">
        <v>0</v>
      </c>
      <c r="AC114" s="6" t="n">
        <v>0.07227790348963145</v>
      </c>
      <c r="AD114" s="6" t="inlineStr">
        <is>
          <t>A</t>
        </is>
      </c>
      <c r="AE114" s="6" t="n">
        <v>0</v>
      </c>
      <c r="AF114" s="6" t="n">
        <v>0.1225</v>
      </c>
      <c r="AG114" s="6" t="n">
        <v>0.81480900767149</v>
      </c>
      <c r="AH114" s="6" t="n">
        <v>0</v>
      </c>
    </row>
    <row r="115">
      <c r="A115" s="6" t="inlineStr">
        <is>
          <t>E301</t>
        </is>
      </c>
      <c r="B115" s="6" t="n">
        <v>0.07341740344769296</v>
      </c>
      <c r="C115" s="6" t="inlineStr">
        <is>
          <t>A</t>
        </is>
      </c>
      <c r="D115" s="6" t="n">
        <v>0.7442782744877131</v>
      </c>
      <c r="E115" s="6" t="n">
        <v>0.07823231232390586</v>
      </c>
      <c r="F115" s="6" t="n">
        <v>0.2276952038743492</v>
      </c>
      <c r="G115" s="6" t="n">
        <v>114</v>
      </c>
      <c r="H115" s="6" t="n">
        <v>46</v>
      </c>
      <c r="I115" s="6" t="inlineStr">
        <is>
          <t>***企业管理咨询有限公司</t>
        </is>
      </c>
      <c r="J115" s="6" t="b">
        <v>0</v>
      </c>
      <c r="K115" s="6" t="inlineStr">
        <is>
          <t>其他</t>
        </is>
      </c>
      <c r="L115" s="6" t="n">
        <v>0.3</v>
      </c>
      <c r="M115" s="6" t="n">
        <v>1</v>
      </c>
      <c r="N115" s="6" t="n">
        <v>0.07341740344769296</v>
      </c>
      <c r="O115" s="6" t="inlineStr">
        <is>
          <t>A</t>
        </is>
      </c>
      <c r="P115" s="6" t="n">
        <v>0</v>
      </c>
      <c r="Q115" s="6" t="n">
        <v>0.1225</v>
      </c>
      <c r="R115" s="6" t="n">
        <v>0.81480900767149</v>
      </c>
      <c r="S115" s="6" t="n">
        <v>0.008232837052497275</v>
      </c>
      <c r="T115" s="6" t="inlineStr"/>
      <c r="U115" s="6" t="n">
        <v>0</v>
      </c>
      <c r="V115" s="6" t="n">
        <v>0</v>
      </c>
      <c r="W115" s="6" t="n">
        <v>0</v>
      </c>
      <c r="X115" s="6" t="n">
        <v>0</v>
      </c>
      <c r="Y115" s="6" t="n">
        <v>0</v>
      </c>
      <c r="Z115" s="6" t="n">
        <v>0</v>
      </c>
      <c r="AA115" s="9">
        <f>P115*(1-R115)*((1-B115)*Q115-B115*'模型说明与假设'!$B$7-'模型说明与假设'!$B$8)</f>
        <v/>
      </c>
      <c r="AB115" s="6" t="b">
        <v>0</v>
      </c>
      <c r="AC115" s="6" t="n">
        <v>0.07341740344769296</v>
      </c>
      <c r="AD115" s="6" t="inlineStr">
        <is>
          <t>A</t>
        </is>
      </c>
      <c r="AE115" s="6" t="n">
        <v>0</v>
      </c>
      <c r="AF115" s="6" t="n">
        <v>0.1225</v>
      </c>
      <c r="AG115" s="6" t="n">
        <v>0.81480900767149</v>
      </c>
      <c r="AH115" s="6" t="n">
        <v>0</v>
      </c>
    </row>
    <row r="116">
      <c r="A116" s="6" t="inlineStr">
        <is>
          <t>E207</t>
        </is>
      </c>
      <c r="B116" s="6" t="n">
        <v>0.07354209956783396</v>
      </c>
      <c r="C116" s="6" t="inlineStr">
        <is>
          <t>A</t>
        </is>
      </c>
      <c r="D116" s="6" t="n">
        <v>0.6981432293234361</v>
      </c>
      <c r="E116" s="6" t="n">
        <v>0.09557850522168454</v>
      </c>
      <c r="F116" s="6" t="n">
        <v>0.2210567817969254</v>
      </c>
      <c r="G116" s="6" t="n">
        <v>115</v>
      </c>
      <c r="H116" s="6" t="n">
        <v>115</v>
      </c>
      <c r="I116" s="6" t="inlineStr">
        <is>
          <t xml:space="preserve">个体经营E207 </t>
        </is>
      </c>
      <c r="J116" s="6" t="b">
        <v>0</v>
      </c>
      <c r="K116" s="6" t="inlineStr">
        <is>
          <t>未知</t>
        </is>
      </c>
      <c r="L116" s="6" t="n">
        <v>0</v>
      </c>
      <c r="M116" s="6" t="n">
        <v>1</v>
      </c>
      <c r="N116" s="6" t="n">
        <v>0.07354209956783396</v>
      </c>
      <c r="O116" s="6" t="inlineStr">
        <is>
          <t>A</t>
        </is>
      </c>
      <c r="P116" s="6" t="n">
        <v>0</v>
      </c>
      <c r="Q116" s="6" t="n">
        <v>0.1225</v>
      </c>
      <c r="R116" s="6" t="n">
        <v>0.81480900767149</v>
      </c>
      <c r="S116" s="6" t="n">
        <v>0.008216152650277236</v>
      </c>
      <c r="T116" s="6" t="inlineStr"/>
      <c r="U116" s="6" t="n">
        <v>0</v>
      </c>
      <c r="V116" s="6" t="n">
        <v>0</v>
      </c>
      <c r="W116" s="6" t="n">
        <v>0</v>
      </c>
      <c r="X116" s="6" t="n">
        <v>0</v>
      </c>
      <c r="Y116" s="6" t="n">
        <v>0</v>
      </c>
      <c r="Z116" s="6" t="n">
        <v>0</v>
      </c>
      <c r="AA116" s="9">
        <f>P116*(1-R116)*((1-B116)*Q116-B116*'模型说明与假设'!$B$7-'模型说明与假设'!$B$8)</f>
        <v/>
      </c>
      <c r="AB116" s="6" t="b">
        <v>0</v>
      </c>
      <c r="AC116" s="6" t="n">
        <v>0.07354209956783396</v>
      </c>
      <c r="AD116" s="6" t="inlineStr">
        <is>
          <t>A</t>
        </is>
      </c>
      <c r="AE116" s="6" t="n">
        <v>0</v>
      </c>
      <c r="AF116" s="6" t="n">
        <v>0.1225</v>
      </c>
      <c r="AG116" s="6" t="n">
        <v>0.81480900767149</v>
      </c>
      <c r="AH116" s="6" t="n">
        <v>0</v>
      </c>
    </row>
    <row r="117">
      <c r="A117" s="6" t="inlineStr">
        <is>
          <t>E355</t>
        </is>
      </c>
      <c r="B117" s="6" t="n">
        <v>0.07410554189409345</v>
      </c>
      <c r="C117" s="6" t="inlineStr">
        <is>
          <t>A</t>
        </is>
      </c>
      <c r="D117" s="6" t="n">
        <v>0.6104941230916799</v>
      </c>
      <c r="E117" s="6" t="n">
        <v>0.131565911782264</v>
      </c>
      <c r="F117" s="6" t="n">
        <v>0.2062105367441631</v>
      </c>
      <c r="G117" s="6" t="n">
        <v>116</v>
      </c>
      <c r="H117" s="6" t="n">
        <v>215</v>
      </c>
      <c r="I117" s="6" t="inlineStr">
        <is>
          <t>***地毯经营部</t>
        </is>
      </c>
      <c r="J117" s="6" t="b">
        <v>0</v>
      </c>
      <c r="K117" s="6" t="inlineStr">
        <is>
          <t>其他</t>
        </is>
      </c>
      <c r="L117" s="6" t="n">
        <v>0.3</v>
      </c>
      <c r="M117" s="6" t="n">
        <v>1</v>
      </c>
      <c r="N117" s="6" t="n">
        <v>0.07410554189409346</v>
      </c>
      <c r="O117" s="6" t="inlineStr">
        <is>
          <t>A</t>
        </is>
      </c>
      <c r="P117" s="6" t="n">
        <v>0</v>
      </c>
      <c r="Q117" s="6" t="n">
        <v>0.1225</v>
      </c>
      <c r="R117" s="6" t="n">
        <v>0.81480900767149</v>
      </c>
      <c r="S117" s="6" t="n">
        <v>0.008140763789834122</v>
      </c>
      <c r="T117" s="6" t="inlineStr"/>
      <c r="U117" s="6" t="n">
        <v>0</v>
      </c>
      <c r="V117" s="6" t="n">
        <v>0</v>
      </c>
      <c r="W117" s="6" t="n">
        <v>0</v>
      </c>
      <c r="X117" s="6" t="n">
        <v>0</v>
      </c>
      <c r="Y117" s="6" t="n">
        <v>0</v>
      </c>
      <c r="Z117" s="6" t="n">
        <v>0</v>
      </c>
      <c r="AA117" s="9">
        <f>P117*(1-R117)*((1-B117)*Q117-B117*'模型说明与假设'!$B$7-'模型说明与假设'!$B$8)</f>
        <v/>
      </c>
      <c r="AB117" s="6" t="b">
        <v>0</v>
      </c>
      <c r="AC117" s="6" t="n">
        <v>0.07410554189409346</v>
      </c>
      <c r="AD117" s="6" t="inlineStr">
        <is>
          <t>A</t>
        </is>
      </c>
      <c r="AE117" s="6" t="n">
        <v>0</v>
      </c>
      <c r="AF117" s="6" t="n">
        <v>0.1225</v>
      </c>
      <c r="AG117" s="6" t="n">
        <v>0.81480900767149</v>
      </c>
      <c r="AH117" s="6" t="n">
        <v>0</v>
      </c>
    </row>
    <row r="118">
      <c r="A118" s="6" t="inlineStr">
        <is>
          <t>E375</t>
        </is>
      </c>
      <c r="B118" s="6" t="n">
        <v>0.07511267615900648</v>
      </c>
      <c r="C118" s="6" t="inlineStr">
        <is>
          <t>A</t>
        </is>
      </c>
      <c r="D118" s="6" t="n">
        <v>0.6296604072074845</v>
      </c>
      <c r="E118" s="6" t="n">
        <v>0.1261722112926249</v>
      </c>
      <c r="F118" s="6" t="n">
        <v>0.2145210706252863</v>
      </c>
      <c r="G118" s="6" t="n">
        <v>117</v>
      </c>
      <c r="H118" s="6" t="n">
        <v>195</v>
      </c>
      <c r="I118" s="6" t="inlineStr">
        <is>
          <t>***电器经营部</t>
        </is>
      </c>
      <c r="J118" s="6" t="b">
        <v>0</v>
      </c>
      <c r="K118" s="6" t="inlineStr">
        <is>
          <t>其他</t>
        </is>
      </c>
      <c r="L118" s="6" t="n">
        <v>0.3</v>
      </c>
      <c r="M118" s="6" t="n">
        <v>1</v>
      </c>
      <c r="N118" s="6" t="n">
        <v>0.07511267615900649</v>
      </c>
      <c r="O118" s="6" t="inlineStr">
        <is>
          <t>A</t>
        </is>
      </c>
      <c r="P118" s="6" t="n">
        <v>0</v>
      </c>
      <c r="Q118" s="6" t="n">
        <v>0.1225</v>
      </c>
      <c r="R118" s="6" t="n">
        <v>0.81480900767149</v>
      </c>
      <c r="S118" s="6" t="n">
        <v>0.008006008729721657</v>
      </c>
      <c r="T118" s="6" t="inlineStr"/>
      <c r="U118" s="6" t="n">
        <v>0</v>
      </c>
      <c r="V118" s="6" t="n">
        <v>0</v>
      </c>
      <c r="W118" s="6" t="n">
        <v>0</v>
      </c>
      <c r="X118" s="6" t="n">
        <v>0</v>
      </c>
      <c r="Y118" s="6" t="n">
        <v>0</v>
      </c>
      <c r="Z118" s="6" t="n">
        <v>0</v>
      </c>
      <c r="AA118" s="9">
        <f>P118*(1-R118)*((1-B118)*Q118-B118*'模型说明与假设'!$B$7-'模型说明与假设'!$B$8)</f>
        <v/>
      </c>
      <c r="AB118" s="6" t="b">
        <v>0</v>
      </c>
      <c r="AC118" s="6" t="n">
        <v>0.07511267615900649</v>
      </c>
      <c r="AD118" s="6" t="inlineStr">
        <is>
          <t>A</t>
        </is>
      </c>
      <c r="AE118" s="6" t="n">
        <v>0</v>
      </c>
      <c r="AF118" s="6" t="n">
        <v>0.1225</v>
      </c>
      <c r="AG118" s="6" t="n">
        <v>0.81480900767149</v>
      </c>
      <c r="AH118" s="6" t="n">
        <v>0</v>
      </c>
    </row>
    <row r="119">
      <c r="A119" s="6" t="inlineStr">
        <is>
          <t>E179</t>
        </is>
      </c>
      <c r="B119" s="6" t="n">
        <v>0.07626215655777439</v>
      </c>
      <c r="C119" s="6" t="inlineStr">
        <is>
          <t>A</t>
        </is>
      </c>
      <c r="D119" s="6" t="n">
        <v>0.7221881501111391</v>
      </c>
      <c r="E119" s="6" t="n">
        <v>0.08458668486694629</v>
      </c>
      <c r="F119" s="6" t="n">
        <v>0.2198880339068761</v>
      </c>
      <c r="G119" s="6" t="n">
        <v>118</v>
      </c>
      <c r="H119" s="6" t="n">
        <v>77</v>
      </c>
      <c r="I119" s="6" t="inlineStr">
        <is>
          <t>***园林有限公司</t>
        </is>
      </c>
      <c r="J119" s="6" t="b">
        <v>0</v>
      </c>
      <c r="K119" s="6" t="inlineStr">
        <is>
          <t>其他</t>
        </is>
      </c>
      <c r="L119" s="6" t="n">
        <v>0.3</v>
      </c>
      <c r="M119" s="6" t="n">
        <v>1</v>
      </c>
      <c r="N119" s="6" t="n">
        <v>0.07626215655777439</v>
      </c>
      <c r="O119" s="6" t="inlineStr">
        <is>
          <t>A</t>
        </is>
      </c>
      <c r="P119" s="6" t="n">
        <v>0</v>
      </c>
      <c r="Q119" s="6" t="n">
        <v>0.1225</v>
      </c>
      <c r="R119" s="6" t="n">
        <v>0.81480900767149</v>
      </c>
      <c r="S119" s="6" t="n">
        <v>0.007852207686871183</v>
      </c>
      <c r="T119" s="6" t="inlineStr"/>
      <c r="U119" s="6" t="n">
        <v>0</v>
      </c>
      <c r="V119" s="6" t="n">
        <v>0</v>
      </c>
      <c r="W119" s="6" t="n">
        <v>0</v>
      </c>
      <c r="X119" s="6" t="n">
        <v>0</v>
      </c>
      <c r="Y119" s="6" t="n">
        <v>0</v>
      </c>
      <c r="Z119" s="6" t="n">
        <v>0</v>
      </c>
      <c r="AA119" s="9">
        <f>P119*(1-R119)*((1-B119)*Q119-B119*'模型说明与假设'!$B$7-'模型说明与假设'!$B$8)</f>
        <v/>
      </c>
      <c r="AB119" s="6" t="b">
        <v>0</v>
      </c>
      <c r="AC119" s="6" t="n">
        <v>0.07626215655777439</v>
      </c>
      <c r="AD119" s="6" t="inlineStr">
        <is>
          <t>A</t>
        </is>
      </c>
      <c r="AE119" s="6" t="n">
        <v>0</v>
      </c>
      <c r="AF119" s="6" t="n">
        <v>0.1225</v>
      </c>
      <c r="AG119" s="6" t="n">
        <v>0.81480900767149</v>
      </c>
      <c r="AH119" s="6" t="n">
        <v>0</v>
      </c>
    </row>
    <row r="120">
      <c r="A120" s="6" t="inlineStr">
        <is>
          <t>E255</t>
        </is>
      </c>
      <c r="B120" s="6" t="n">
        <v>0.07645970487161602</v>
      </c>
      <c r="C120" s="6" t="inlineStr">
        <is>
          <t>A</t>
        </is>
      </c>
      <c r="D120" s="6" t="n">
        <v>0.7051106666370375</v>
      </c>
      <c r="E120" s="6" t="n">
        <v>0.09276856450163928</v>
      </c>
      <c r="F120" s="6" t="n">
        <v>0.2218191604719721</v>
      </c>
      <c r="G120" s="6" t="n">
        <v>119</v>
      </c>
      <c r="H120" s="6" t="n">
        <v>106</v>
      </c>
      <c r="I120" s="6" t="inlineStr">
        <is>
          <t xml:space="preserve">个体经营E255 </t>
        </is>
      </c>
      <c r="J120" s="6" t="b">
        <v>0</v>
      </c>
      <c r="K120" s="6" t="inlineStr">
        <is>
          <t>未知</t>
        </is>
      </c>
      <c r="L120" s="6" t="n">
        <v>0</v>
      </c>
      <c r="M120" s="6" t="n">
        <v>1</v>
      </c>
      <c r="N120" s="6" t="n">
        <v>0.07645970487161602</v>
      </c>
      <c r="O120" s="6" t="inlineStr">
        <is>
          <t>A</t>
        </is>
      </c>
      <c r="P120" s="6" t="n">
        <v>0</v>
      </c>
      <c r="Q120" s="6" t="n">
        <v>0.1225</v>
      </c>
      <c r="R120" s="6" t="n">
        <v>0.81480900767149</v>
      </c>
      <c r="S120" s="6" t="n">
        <v>0.007825775625293827</v>
      </c>
      <c r="T120" s="6" t="inlineStr"/>
      <c r="U120" s="6" t="n">
        <v>0</v>
      </c>
      <c r="V120" s="6" t="n">
        <v>0</v>
      </c>
      <c r="W120" s="6" t="n">
        <v>0</v>
      </c>
      <c r="X120" s="6" t="n">
        <v>0</v>
      </c>
      <c r="Y120" s="6" t="n">
        <v>0</v>
      </c>
      <c r="Z120" s="6" t="n">
        <v>0</v>
      </c>
      <c r="AA120" s="9">
        <f>P120*(1-R120)*((1-B120)*Q120-B120*'模型说明与假设'!$B$7-'模型说明与假设'!$B$8)</f>
        <v/>
      </c>
      <c r="AB120" s="6" t="b">
        <v>0</v>
      </c>
      <c r="AC120" s="6" t="n">
        <v>0.07645970487161602</v>
      </c>
      <c r="AD120" s="6" t="inlineStr">
        <is>
          <t>A</t>
        </is>
      </c>
      <c r="AE120" s="6" t="n">
        <v>0</v>
      </c>
      <c r="AF120" s="6" t="n">
        <v>0.1225</v>
      </c>
      <c r="AG120" s="6" t="n">
        <v>0.81480900767149</v>
      </c>
      <c r="AH120" s="6" t="n">
        <v>0</v>
      </c>
    </row>
    <row r="121">
      <c r="A121" s="6" t="inlineStr">
        <is>
          <t>E230</t>
        </is>
      </c>
      <c r="B121" s="6" t="n">
        <v>0.08810086994358575</v>
      </c>
      <c r="C121" s="6" t="inlineStr">
        <is>
          <t>A</t>
        </is>
      </c>
      <c r="D121" s="6" t="n">
        <v>0.6910856851950999</v>
      </c>
      <c r="E121" s="6" t="n">
        <v>0.09784525793293332</v>
      </c>
      <c r="F121" s="6" t="n">
        <v>0.2188938934875151</v>
      </c>
      <c r="G121" s="6" t="n">
        <v>120</v>
      </c>
      <c r="H121" s="6" t="n">
        <v>127</v>
      </c>
      <c r="I121" s="6" t="inlineStr">
        <is>
          <t>***建筑劳务有限公司</t>
        </is>
      </c>
      <c r="J121" s="6" t="b">
        <v>0</v>
      </c>
      <c r="K121" s="6" t="inlineStr">
        <is>
          <t>中度负面</t>
        </is>
      </c>
      <c r="L121" s="6" t="n">
        <v>0.9</v>
      </c>
      <c r="M121" s="6" t="n">
        <v>1.15</v>
      </c>
      <c r="N121" s="6" t="n">
        <v>0.07750003743600138</v>
      </c>
      <c r="O121" s="6" t="inlineStr">
        <is>
          <t>A</t>
        </is>
      </c>
      <c r="P121" s="6" t="n">
        <v>0</v>
      </c>
      <c r="Q121" s="6" t="n">
        <v>0.1225</v>
      </c>
      <c r="R121" s="6" t="n">
        <v>0.81480900767149</v>
      </c>
      <c r="S121" s="6" t="n">
        <v>0.006268182011707574</v>
      </c>
      <c r="T121" s="6" t="inlineStr"/>
      <c r="U121" s="6" t="n">
        <v>0</v>
      </c>
      <c r="V121" s="6" t="n">
        <v>0</v>
      </c>
      <c r="W121" s="6" t="n">
        <v>0</v>
      </c>
      <c r="X121" s="6" t="n">
        <v>0</v>
      </c>
      <c r="Y121" s="6" t="n">
        <v>0</v>
      </c>
      <c r="Z121" s="6" t="n">
        <v>0</v>
      </c>
      <c r="AA121" s="9">
        <f>P121*(1-R121)*((1-B121)*Q121-B121*'模型说明与假设'!$B$7-'模型说明与假设'!$B$8)</f>
        <v/>
      </c>
      <c r="AB121" s="6" t="b">
        <v>0</v>
      </c>
      <c r="AC121" s="6" t="n">
        <v>0.07750003743600138</v>
      </c>
      <c r="AD121" s="6" t="inlineStr">
        <is>
          <t>A</t>
        </is>
      </c>
      <c r="AE121" s="6" t="n">
        <v>0</v>
      </c>
      <c r="AF121" s="6" t="n">
        <v>0.1225</v>
      </c>
      <c r="AG121" s="6" t="n">
        <v>0.81480900767149</v>
      </c>
      <c r="AH121" s="6" t="n">
        <v>0</v>
      </c>
    </row>
    <row r="122">
      <c r="A122" s="6" t="inlineStr">
        <is>
          <t>E299</t>
        </is>
      </c>
      <c r="B122" s="6" t="n">
        <v>0.07855446675716138</v>
      </c>
      <c r="C122" s="6" t="inlineStr">
        <is>
          <t>A</t>
        </is>
      </c>
      <c r="D122" s="6" t="n">
        <v>0.5568083616278211</v>
      </c>
      <c r="E122" s="6" t="n">
        <v>0.1470129170018833</v>
      </c>
      <c r="F122" s="6" t="n">
        <v>0.1847011864993798</v>
      </c>
      <c r="G122" s="6" t="n">
        <v>121</v>
      </c>
      <c r="H122" s="6" t="n">
        <v>258</v>
      </c>
      <c r="I122" s="6" t="inlineStr">
        <is>
          <t>***压缩天然气有限责任公司</t>
        </is>
      </c>
      <c r="J122" s="6" t="b">
        <v>0</v>
      </c>
      <c r="K122" s="6" t="inlineStr">
        <is>
          <t>其他</t>
        </is>
      </c>
      <c r="L122" s="6" t="n">
        <v>0.3</v>
      </c>
      <c r="M122" s="6" t="n">
        <v>1</v>
      </c>
      <c r="N122" s="6" t="n">
        <v>0.07855446675716138</v>
      </c>
      <c r="O122" s="6" t="inlineStr">
        <is>
          <t>A</t>
        </is>
      </c>
      <c r="P122" s="6" t="n">
        <v>0</v>
      </c>
      <c r="Q122" s="6" t="n">
        <v>0.1225</v>
      </c>
      <c r="R122" s="6" t="n">
        <v>0.81480900767149</v>
      </c>
      <c r="S122" s="6" t="n">
        <v>0.007545495454474356</v>
      </c>
      <c r="T122" s="6" t="inlineStr"/>
      <c r="U122" s="6" t="n">
        <v>0</v>
      </c>
      <c r="V122" s="6" t="n">
        <v>0</v>
      </c>
      <c r="W122" s="6" t="n">
        <v>0</v>
      </c>
      <c r="X122" s="6" t="n">
        <v>0</v>
      </c>
      <c r="Y122" s="6" t="n">
        <v>0</v>
      </c>
      <c r="Z122" s="6" t="n">
        <v>0</v>
      </c>
      <c r="AA122" s="9">
        <f>P122*(1-R122)*((1-B122)*Q122-B122*'模型说明与假设'!$B$7-'模型说明与假设'!$B$8)</f>
        <v/>
      </c>
      <c r="AB122" s="6" t="b">
        <v>0</v>
      </c>
      <c r="AC122" s="6" t="n">
        <v>0.07855446675716138</v>
      </c>
      <c r="AD122" s="6" t="inlineStr">
        <is>
          <t>A</t>
        </is>
      </c>
      <c r="AE122" s="6" t="n">
        <v>0</v>
      </c>
      <c r="AF122" s="6" t="n">
        <v>0.1225</v>
      </c>
      <c r="AG122" s="6" t="n">
        <v>0.81480900767149</v>
      </c>
      <c r="AH122" s="6" t="n">
        <v>0</v>
      </c>
    </row>
    <row r="123">
      <c r="A123" s="6" t="inlineStr">
        <is>
          <t>E272</t>
        </is>
      </c>
      <c r="B123" s="6" t="n">
        <v>0.07873356003893284</v>
      </c>
      <c r="C123" s="6" t="inlineStr">
        <is>
          <t>A</t>
        </is>
      </c>
      <c r="D123" s="6" t="n">
        <v>0.7235562706786804</v>
      </c>
      <c r="E123" s="6" t="n">
        <v>0.08387306449994764</v>
      </c>
      <c r="F123" s="6" t="n">
        <v>0.2195270694291504</v>
      </c>
      <c r="G123" s="6" t="n">
        <v>122</v>
      </c>
      <c r="H123" s="6" t="n">
        <v>75</v>
      </c>
      <c r="I123" s="6" t="inlineStr">
        <is>
          <t xml:space="preserve">个体经营E272 </t>
        </is>
      </c>
      <c r="J123" s="6" t="b">
        <v>0</v>
      </c>
      <c r="K123" s="6" t="inlineStr">
        <is>
          <t>未知</t>
        </is>
      </c>
      <c r="L123" s="6" t="n">
        <v>0</v>
      </c>
      <c r="M123" s="6" t="n">
        <v>1</v>
      </c>
      <c r="N123" s="6" t="n">
        <v>0.07873356003893284</v>
      </c>
      <c r="O123" s="6" t="inlineStr">
        <is>
          <t>A</t>
        </is>
      </c>
      <c r="P123" s="6" t="n">
        <v>0</v>
      </c>
      <c r="Q123" s="6" t="n">
        <v>0.1225</v>
      </c>
      <c r="R123" s="6" t="n">
        <v>0.81480900767149</v>
      </c>
      <c r="S123" s="6" t="n">
        <v>0.007521532685267078</v>
      </c>
      <c r="T123" s="6" t="inlineStr"/>
      <c r="U123" s="6" t="n">
        <v>0</v>
      </c>
      <c r="V123" s="6" t="n">
        <v>0</v>
      </c>
      <c r="W123" s="6" t="n">
        <v>0</v>
      </c>
      <c r="X123" s="6" t="n">
        <v>0</v>
      </c>
      <c r="Y123" s="6" t="n">
        <v>0</v>
      </c>
      <c r="Z123" s="6" t="n">
        <v>0</v>
      </c>
      <c r="AA123" s="9">
        <f>P123*(1-R123)*((1-B123)*Q123-B123*'模型说明与假设'!$B$7-'模型说明与假设'!$B$8)</f>
        <v/>
      </c>
      <c r="AB123" s="6" t="b">
        <v>0</v>
      </c>
      <c r="AC123" s="6" t="n">
        <v>0.07873356003893284</v>
      </c>
      <c r="AD123" s="6" t="inlineStr">
        <is>
          <t>A</t>
        </is>
      </c>
      <c r="AE123" s="6" t="n">
        <v>0</v>
      </c>
      <c r="AF123" s="6" t="n">
        <v>0.1225</v>
      </c>
      <c r="AG123" s="6" t="n">
        <v>0.81480900767149</v>
      </c>
      <c r="AH123" s="6" t="n">
        <v>0</v>
      </c>
    </row>
    <row r="124">
      <c r="A124" s="6" t="inlineStr">
        <is>
          <t>E325</t>
        </is>
      </c>
      <c r="B124" s="6" t="n">
        <v>0.07169439394512067</v>
      </c>
      <c r="C124" s="6" t="inlineStr">
        <is>
          <t>A</t>
        </is>
      </c>
      <c r="D124" s="6" t="n">
        <v>0.5151649699472735</v>
      </c>
      <c r="E124" s="6" t="n">
        <v>0.1733547080637416</v>
      </c>
      <c r="F124" s="6" t="n">
        <v>0.1841992996260267</v>
      </c>
      <c r="G124" s="6" t="n">
        <v>123</v>
      </c>
      <c r="H124" s="6" t="n">
        <v>275</v>
      </c>
      <c r="I124" s="6" t="inlineStr">
        <is>
          <t>***通讯器材有限公司</t>
        </is>
      </c>
      <c r="J124" s="6" t="b">
        <v>0</v>
      </c>
      <c r="K124" s="6" t="inlineStr">
        <is>
          <t>正面/轻影响</t>
        </is>
      </c>
      <c r="L124" s="6" t="n">
        <v>0.9</v>
      </c>
      <c r="M124" s="6" t="n">
        <v>0.9</v>
      </c>
      <c r="N124" s="6" t="n">
        <v>0.07903087431271154</v>
      </c>
      <c r="O124" s="6" t="inlineStr">
        <is>
          <t>A</t>
        </is>
      </c>
      <c r="P124" s="6" t="n">
        <v>0</v>
      </c>
      <c r="Q124" s="6" t="n">
        <v>0.1225</v>
      </c>
      <c r="R124" s="6" t="n">
        <v>0.81480900767149</v>
      </c>
      <c r="S124" s="6" t="n">
        <v>0.008463376571588634</v>
      </c>
      <c r="T124" s="6" t="inlineStr"/>
      <c r="U124" s="6" t="n">
        <v>0</v>
      </c>
      <c r="V124" s="6" t="n">
        <v>0</v>
      </c>
      <c r="W124" s="6" t="n">
        <v>0</v>
      </c>
      <c r="X124" s="6" t="n">
        <v>0</v>
      </c>
      <c r="Y124" s="6" t="n">
        <v>0</v>
      </c>
      <c r="Z124" s="6" t="n">
        <v>0</v>
      </c>
      <c r="AA124" s="9">
        <f>P124*(1-R124)*((1-B124)*Q124-B124*'模型说明与假设'!$B$7-'模型说明与假设'!$B$8)</f>
        <v/>
      </c>
      <c r="AB124" s="6" t="b">
        <v>0</v>
      </c>
      <c r="AC124" s="6" t="n">
        <v>0.07903087431271154</v>
      </c>
      <c r="AD124" s="6" t="inlineStr">
        <is>
          <t>A</t>
        </is>
      </c>
      <c r="AE124" s="6" t="n">
        <v>0</v>
      </c>
      <c r="AF124" s="6" t="n">
        <v>0.1225</v>
      </c>
      <c r="AG124" s="6" t="n">
        <v>0.81480900767149</v>
      </c>
      <c r="AH124" s="6" t="n">
        <v>0</v>
      </c>
    </row>
    <row r="125">
      <c r="A125" s="6" t="inlineStr">
        <is>
          <t>E130</t>
        </is>
      </c>
      <c r="B125" s="6" t="n">
        <v>0.08029362147351435</v>
      </c>
      <c r="C125" s="6" t="inlineStr">
        <is>
          <t>A</t>
        </is>
      </c>
      <c r="D125" s="6" t="n">
        <v>0.7372128972356311</v>
      </c>
      <c r="E125" s="6" t="n">
        <v>0.08115993255154584</v>
      </c>
      <c r="F125" s="6" t="n">
        <v>0.2276829737318681</v>
      </c>
      <c r="G125" s="6" t="n">
        <v>124</v>
      </c>
      <c r="H125" s="6" t="n">
        <v>56</v>
      </c>
      <c r="I125" s="6" t="inlineStr">
        <is>
          <t xml:space="preserve">个体经营E130 </t>
        </is>
      </c>
      <c r="J125" s="6" t="b">
        <v>0</v>
      </c>
      <c r="K125" s="6" t="inlineStr">
        <is>
          <t>未知</t>
        </is>
      </c>
      <c r="L125" s="6" t="n">
        <v>0</v>
      </c>
      <c r="M125" s="6" t="n">
        <v>1</v>
      </c>
      <c r="N125" s="6" t="n">
        <v>0.08029362147351433</v>
      </c>
      <c r="O125" s="6" t="inlineStr">
        <is>
          <t>A</t>
        </is>
      </c>
      <c r="P125" s="6" t="n">
        <v>0</v>
      </c>
      <c r="Q125" s="6" t="n">
        <v>0.1225</v>
      </c>
      <c r="R125" s="6" t="n">
        <v>0.81480900767149</v>
      </c>
      <c r="S125" s="6" t="n">
        <v>0.007312795697836385</v>
      </c>
      <c r="T125" s="6" t="inlineStr"/>
      <c r="U125" s="6" t="n">
        <v>0</v>
      </c>
      <c r="V125" s="6" t="n">
        <v>0</v>
      </c>
      <c r="W125" s="6" t="n">
        <v>0</v>
      </c>
      <c r="X125" s="6" t="n">
        <v>0</v>
      </c>
      <c r="Y125" s="6" t="n">
        <v>0</v>
      </c>
      <c r="Z125" s="6" t="n">
        <v>0</v>
      </c>
      <c r="AA125" s="9">
        <f>P125*(1-R125)*((1-B125)*Q125-B125*'模型说明与假设'!$B$7-'模型说明与假设'!$B$8)</f>
        <v/>
      </c>
      <c r="AB125" s="6" t="b">
        <v>0</v>
      </c>
      <c r="AC125" s="6" t="n">
        <v>0.08029362147351433</v>
      </c>
      <c r="AD125" s="6" t="inlineStr">
        <is>
          <t>A</t>
        </is>
      </c>
      <c r="AE125" s="6" t="n">
        <v>0</v>
      </c>
      <c r="AF125" s="6" t="n">
        <v>0.1225</v>
      </c>
      <c r="AG125" s="6" t="n">
        <v>0.81480900767149</v>
      </c>
      <c r="AH125" s="6" t="n">
        <v>0</v>
      </c>
    </row>
    <row r="126">
      <c r="A126" s="6" t="inlineStr">
        <is>
          <t>E200</t>
        </is>
      </c>
      <c r="B126" s="6" t="n">
        <v>0.08029406675352033</v>
      </c>
      <c r="C126" s="6" t="inlineStr">
        <is>
          <t>A</t>
        </is>
      </c>
      <c r="D126" s="6" t="n">
        <v>0.5828973320339979</v>
      </c>
      <c r="E126" s="6" t="n">
        <v>0.1356488589342813</v>
      </c>
      <c r="F126" s="6" t="n">
        <v>0.1895680944737894</v>
      </c>
      <c r="G126" s="6" t="n">
        <v>125</v>
      </c>
      <c r="H126" s="6" t="n">
        <v>239</v>
      </c>
      <c r="I126" s="6" t="inlineStr">
        <is>
          <t xml:space="preserve">个体经营E200 </t>
        </is>
      </c>
      <c r="J126" s="6" t="b">
        <v>0</v>
      </c>
      <c r="K126" s="6" t="inlineStr">
        <is>
          <t>未知</t>
        </is>
      </c>
      <c r="L126" s="6" t="n">
        <v>0</v>
      </c>
      <c r="M126" s="6" t="n">
        <v>1</v>
      </c>
      <c r="N126" s="6" t="n">
        <v>0.08029406675352031</v>
      </c>
      <c r="O126" s="6" t="inlineStr">
        <is>
          <t>A</t>
        </is>
      </c>
      <c r="P126" s="6" t="n">
        <v>0</v>
      </c>
      <c r="Q126" s="6" t="n">
        <v>0.1225</v>
      </c>
      <c r="R126" s="6" t="n">
        <v>0.81480900767149</v>
      </c>
      <c r="S126" s="6" t="n">
        <v>0.007312736119152525</v>
      </c>
      <c r="T126" s="6" t="inlineStr"/>
      <c r="U126" s="6" t="n">
        <v>0</v>
      </c>
      <c r="V126" s="6" t="n">
        <v>0</v>
      </c>
      <c r="W126" s="6" t="n">
        <v>0</v>
      </c>
      <c r="X126" s="6" t="n">
        <v>0</v>
      </c>
      <c r="Y126" s="6" t="n">
        <v>0</v>
      </c>
      <c r="Z126" s="6" t="n">
        <v>0</v>
      </c>
      <c r="AA126" s="9">
        <f>P126*(1-R126)*((1-B126)*Q126-B126*'模型说明与假设'!$B$7-'模型说明与假设'!$B$8)</f>
        <v/>
      </c>
      <c r="AB126" s="6" t="b">
        <v>0</v>
      </c>
      <c r="AC126" s="6" t="n">
        <v>0.08029406675352031</v>
      </c>
      <c r="AD126" s="6" t="inlineStr">
        <is>
          <t>A</t>
        </is>
      </c>
      <c r="AE126" s="6" t="n">
        <v>0</v>
      </c>
      <c r="AF126" s="6" t="n">
        <v>0.1225</v>
      </c>
      <c r="AG126" s="6" t="n">
        <v>0.81480900767149</v>
      </c>
      <c r="AH126" s="6" t="n">
        <v>0</v>
      </c>
    </row>
    <row r="127">
      <c r="A127" s="6" t="inlineStr">
        <is>
          <t>E267</t>
        </is>
      </c>
      <c r="B127" s="6" t="n">
        <v>0.08127585048307909</v>
      </c>
      <c r="C127" s="6" t="inlineStr">
        <is>
          <t>A</t>
        </is>
      </c>
      <c r="D127" s="6" t="n">
        <v>0.6593870146966868</v>
      </c>
      <c r="E127" s="6" t="n">
        <v>0.1126989317511542</v>
      </c>
      <c r="F127" s="6" t="n">
        <v>0.2181719880724006</v>
      </c>
      <c r="G127" s="6" t="n">
        <v>126</v>
      </c>
      <c r="H127" s="6" t="n">
        <v>171</v>
      </c>
      <c r="I127" s="6" t="inlineStr">
        <is>
          <t>***林园艺场</t>
        </is>
      </c>
      <c r="J127" s="6" t="b">
        <v>0</v>
      </c>
      <c r="K127" s="6" t="inlineStr">
        <is>
          <t>其他</t>
        </is>
      </c>
      <c r="L127" s="6" t="n">
        <v>0.3</v>
      </c>
      <c r="M127" s="6" t="n">
        <v>1</v>
      </c>
      <c r="N127" s="6" t="n">
        <v>0.0812758504830791</v>
      </c>
      <c r="O127" s="6" t="inlineStr">
        <is>
          <t>A</t>
        </is>
      </c>
      <c r="P127" s="6" t="n">
        <v>0</v>
      </c>
      <c r="Q127" s="6" t="n">
        <v>0.1225</v>
      </c>
      <c r="R127" s="6" t="n">
        <v>0.81480900767149</v>
      </c>
      <c r="S127" s="6" t="n">
        <v>0.007181372973141846</v>
      </c>
      <c r="T127" s="6" t="inlineStr"/>
      <c r="U127" s="6" t="n">
        <v>0</v>
      </c>
      <c r="V127" s="6" t="n">
        <v>0</v>
      </c>
      <c r="W127" s="6" t="n">
        <v>0</v>
      </c>
      <c r="X127" s="6" t="n">
        <v>0</v>
      </c>
      <c r="Y127" s="6" t="n">
        <v>0</v>
      </c>
      <c r="Z127" s="6" t="n">
        <v>0</v>
      </c>
      <c r="AA127" s="9">
        <f>P127*(1-R127)*((1-B127)*Q127-B127*'模型说明与假设'!$B$7-'模型说明与假设'!$B$8)</f>
        <v/>
      </c>
      <c r="AB127" s="6" t="b">
        <v>0</v>
      </c>
      <c r="AC127" s="6" t="n">
        <v>0.0812758504830791</v>
      </c>
      <c r="AD127" s="6" t="inlineStr">
        <is>
          <t>A</t>
        </is>
      </c>
      <c r="AE127" s="6" t="n">
        <v>0</v>
      </c>
      <c r="AF127" s="6" t="n">
        <v>0.1225</v>
      </c>
      <c r="AG127" s="6" t="n">
        <v>0.81480900767149</v>
      </c>
      <c r="AH127" s="6" t="n">
        <v>0</v>
      </c>
    </row>
    <row r="128">
      <c r="A128" s="6" t="inlineStr">
        <is>
          <t>E189</t>
        </is>
      </c>
      <c r="B128" s="6" t="n">
        <v>0.0745266458566535</v>
      </c>
      <c r="C128" s="6" t="inlineStr">
        <is>
          <t>A</t>
        </is>
      </c>
      <c r="D128" s="6" t="n">
        <v>0.734351571830108</v>
      </c>
      <c r="E128" s="6" t="n">
        <v>0.08138145327437948</v>
      </c>
      <c r="F128" s="6" t="n">
        <v>0.2249687624413071</v>
      </c>
      <c r="G128" s="6" t="n">
        <v>127</v>
      </c>
      <c r="H128" s="6" t="n">
        <v>60</v>
      </c>
      <c r="I128" s="6" t="inlineStr">
        <is>
          <t>***石油工程技术服务有限公司</t>
        </is>
      </c>
      <c r="J128" s="6" t="b">
        <v>0</v>
      </c>
      <c r="K128" s="6" t="inlineStr">
        <is>
          <t>正面/轻影响</t>
        </is>
      </c>
      <c r="L128" s="6" t="n">
        <v>0.9</v>
      </c>
      <c r="M128" s="6" t="n">
        <v>0.9</v>
      </c>
      <c r="N128" s="6" t="n">
        <v>0.08212730951722058</v>
      </c>
      <c r="O128" s="6" t="inlineStr">
        <is>
          <t>A</t>
        </is>
      </c>
      <c r="P128" s="6" t="n">
        <v>0</v>
      </c>
      <c r="Q128" s="6" t="n">
        <v>0.1225</v>
      </c>
      <c r="R128" s="6" t="n">
        <v>0.81480900767149</v>
      </c>
      <c r="S128" s="6" t="n">
        <v>0.008084419872478401</v>
      </c>
      <c r="T128" s="6" t="inlineStr"/>
      <c r="U128" s="6" t="n">
        <v>0</v>
      </c>
      <c r="V128" s="6" t="n">
        <v>0</v>
      </c>
      <c r="W128" s="6" t="n">
        <v>0</v>
      </c>
      <c r="X128" s="6" t="n">
        <v>0</v>
      </c>
      <c r="Y128" s="6" t="n">
        <v>0</v>
      </c>
      <c r="Z128" s="6" t="n">
        <v>0</v>
      </c>
      <c r="AA128" s="9">
        <f>P128*(1-R128)*((1-B128)*Q128-B128*'模型说明与假设'!$B$7-'模型说明与假设'!$B$8)</f>
        <v/>
      </c>
      <c r="AB128" s="6" t="b">
        <v>0</v>
      </c>
      <c r="AC128" s="6" t="n">
        <v>0.08212730951722058</v>
      </c>
      <c r="AD128" s="6" t="inlineStr">
        <is>
          <t>A</t>
        </is>
      </c>
      <c r="AE128" s="6" t="n">
        <v>0</v>
      </c>
      <c r="AF128" s="6" t="n">
        <v>0.1225</v>
      </c>
      <c r="AG128" s="6" t="n">
        <v>0.81480900767149</v>
      </c>
      <c r="AH128" s="6" t="n">
        <v>0</v>
      </c>
    </row>
    <row r="129">
      <c r="A129" s="6" t="inlineStr">
        <is>
          <t>E157</t>
        </is>
      </c>
      <c r="B129" s="6" t="n">
        <v>0.08218957594489196</v>
      </c>
      <c r="C129" s="6" t="inlineStr">
        <is>
          <t>A</t>
        </is>
      </c>
      <c r="D129" s="6" t="n">
        <v>0.7219186218019298</v>
      </c>
      <c r="E129" s="6" t="n">
        <v>0.08294902989091733</v>
      </c>
      <c r="F129" s="6" t="n">
        <v>0.2153414576937453</v>
      </c>
      <c r="G129" s="6" t="n">
        <v>128</v>
      </c>
      <c r="H129" s="6" t="n">
        <v>79</v>
      </c>
      <c r="I129" s="6" t="inlineStr">
        <is>
          <t>***环境设备工程有限公司</t>
        </is>
      </c>
      <c r="J129" s="6" t="b">
        <v>0</v>
      </c>
      <c r="K129" s="6" t="inlineStr">
        <is>
          <t>其他</t>
        </is>
      </c>
      <c r="L129" s="6" t="n">
        <v>0.3</v>
      </c>
      <c r="M129" s="6" t="n">
        <v>1</v>
      </c>
      <c r="N129" s="6" t="n">
        <v>0.08218957594489196</v>
      </c>
      <c r="O129" s="6" t="inlineStr">
        <is>
          <t>A</t>
        </is>
      </c>
      <c r="P129" s="6" t="n">
        <v>0</v>
      </c>
      <c r="Q129" s="6" t="n">
        <v>0.1225</v>
      </c>
      <c r="R129" s="6" t="n">
        <v>0.81480900767149</v>
      </c>
      <c r="S129" s="6" t="n">
        <v>0.007059116056837326</v>
      </c>
      <c r="T129" s="6" t="inlineStr"/>
      <c r="U129" s="6" t="n">
        <v>0</v>
      </c>
      <c r="V129" s="6" t="n">
        <v>0</v>
      </c>
      <c r="W129" s="6" t="n">
        <v>0</v>
      </c>
      <c r="X129" s="6" t="n">
        <v>0</v>
      </c>
      <c r="Y129" s="6" t="n">
        <v>0</v>
      </c>
      <c r="Z129" s="6" t="n">
        <v>0</v>
      </c>
      <c r="AA129" s="9">
        <f>P129*(1-R129)*((1-B129)*Q129-B129*'模型说明与假设'!$B$7-'模型说明与假设'!$B$8)</f>
        <v/>
      </c>
      <c r="AB129" s="6" t="b">
        <v>0</v>
      </c>
      <c r="AC129" s="6" t="n">
        <v>0.08218957594489196</v>
      </c>
      <c r="AD129" s="6" t="inlineStr">
        <is>
          <t>A</t>
        </is>
      </c>
      <c r="AE129" s="6" t="n">
        <v>0</v>
      </c>
      <c r="AF129" s="6" t="n">
        <v>0.1225</v>
      </c>
      <c r="AG129" s="6" t="n">
        <v>0.81480900767149</v>
      </c>
      <c r="AH129" s="6" t="n">
        <v>0</v>
      </c>
    </row>
    <row r="130">
      <c r="A130" s="6" t="inlineStr">
        <is>
          <t>E313</t>
        </is>
      </c>
      <c r="B130" s="6" t="n">
        <v>0.09442075865651278</v>
      </c>
      <c r="C130" s="6" t="inlineStr">
        <is>
          <t>A</t>
        </is>
      </c>
      <c r="D130" s="6" t="n">
        <v>0.6873550737174859</v>
      </c>
      <c r="E130" s="6" t="n">
        <v>0.09893691335451082</v>
      </c>
      <c r="F130" s="6" t="n">
        <v>0.2175144505966471</v>
      </c>
      <c r="G130" s="6" t="n">
        <v>129</v>
      </c>
      <c r="H130" s="6" t="n">
        <v>136</v>
      </c>
      <c r="I130" s="6" t="inlineStr">
        <is>
          <t>***物流有限公司</t>
        </is>
      </c>
      <c r="J130" s="6" t="b">
        <v>0</v>
      </c>
      <c r="K130" s="6" t="inlineStr">
        <is>
          <t>中度负面</t>
        </is>
      </c>
      <c r="L130" s="6" t="n">
        <v>0.9</v>
      </c>
      <c r="M130" s="6" t="n">
        <v>1.15</v>
      </c>
      <c r="N130" s="6" t="n">
        <v>0.08312880115407734</v>
      </c>
      <c r="O130" s="6" t="inlineStr">
        <is>
          <t>A</t>
        </is>
      </c>
      <c r="P130" s="6" t="n">
        <v>0</v>
      </c>
      <c r="Q130" s="6" t="n">
        <v>0.1425</v>
      </c>
      <c r="R130" s="6" t="n">
        <v>0.880180313431412</v>
      </c>
      <c r="S130" s="6" t="n">
        <v>0.005678564883773786</v>
      </c>
      <c r="T130" s="6" t="inlineStr"/>
      <c r="U130" s="6" t="n">
        <v>0</v>
      </c>
      <c r="V130" s="6" t="n">
        <v>0</v>
      </c>
      <c r="W130" s="6" t="n">
        <v>0</v>
      </c>
      <c r="X130" s="6" t="n">
        <v>0</v>
      </c>
      <c r="Y130" s="6" t="n">
        <v>0</v>
      </c>
      <c r="Z130" s="6" t="n">
        <v>0</v>
      </c>
      <c r="AA130" s="9">
        <f>P130*(1-R130)*((1-B130)*Q130-B130*'模型说明与假设'!$B$7-'模型说明与假设'!$B$8)</f>
        <v/>
      </c>
      <c r="AB130" s="6" t="b">
        <v>0</v>
      </c>
      <c r="AC130" s="6" t="n">
        <v>0.08312880115407734</v>
      </c>
      <c r="AD130" s="6" t="inlineStr">
        <is>
          <t>A</t>
        </is>
      </c>
      <c r="AE130" s="6" t="n">
        <v>0</v>
      </c>
      <c r="AF130" s="6" t="n">
        <v>0.1225</v>
      </c>
      <c r="AG130" s="6" t="n">
        <v>0.81480900767149</v>
      </c>
      <c r="AH130" s="6" t="n">
        <v>0</v>
      </c>
    </row>
    <row r="131">
      <c r="A131" s="6" t="inlineStr">
        <is>
          <t>E216</t>
        </is>
      </c>
      <c r="B131" s="6" t="n">
        <v>0.09529383793957281</v>
      </c>
      <c r="C131" s="6" t="inlineStr">
        <is>
          <t>A</t>
        </is>
      </c>
      <c r="D131" s="6" t="n">
        <v>0.7315201841816268</v>
      </c>
      <c r="E131" s="6" t="n">
        <v>0.08183728561071284</v>
      </c>
      <c r="F131" s="6" t="n">
        <v>0.2229799884970577</v>
      </c>
      <c r="G131" s="6" t="n">
        <v>130</v>
      </c>
      <c r="H131" s="6" t="n">
        <v>64</v>
      </c>
      <c r="I131" s="6" t="inlineStr">
        <is>
          <t>***建设工程有限公司</t>
        </is>
      </c>
      <c r="J131" s="6" t="b">
        <v>0</v>
      </c>
      <c r="K131" s="6" t="inlineStr">
        <is>
          <t>中度负面</t>
        </is>
      </c>
      <c r="L131" s="6" t="n">
        <v>0.9</v>
      </c>
      <c r="M131" s="6" t="n">
        <v>1.15</v>
      </c>
      <c r="N131" s="6" t="n">
        <v>0.0839071417167673</v>
      </c>
      <c r="O131" s="6" t="inlineStr">
        <is>
          <t>A</t>
        </is>
      </c>
      <c r="P131" s="6" t="n">
        <v>0</v>
      </c>
      <c r="Q131" s="6" t="n">
        <v>0.1425</v>
      </c>
      <c r="R131" s="6" t="n">
        <v>0.880180313431412</v>
      </c>
      <c r="S131" s="6" t="n">
        <v>0.005600890409884794</v>
      </c>
      <c r="T131" s="6" t="inlineStr"/>
      <c r="U131" s="6" t="n">
        <v>0</v>
      </c>
      <c r="V131" s="6" t="n">
        <v>0</v>
      </c>
      <c r="W131" s="6" t="n">
        <v>0</v>
      </c>
      <c r="X131" s="6" t="n">
        <v>0</v>
      </c>
      <c r="Y131" s="6" t="n">
        <v>0</v>
      </c>
      <c r="Z131" s="6" t="n">
        <v>0</v>
      </c>
      <c r="AA131" s="9">
        <f>P131*(1-R131)*((1-B131)*Q131-B131*'模型说明与假设'!$B$7-'模型说明与假设'!$B$8)</f>
        <v/>
      </c>
      <c r="AB131" s="6" t="b">
        <v>0</v>
      </c>
      <c r="AC131" s="6" t="n">
        <v>0.0839071417167673</v>
      </c>
      <c r="AD131" s="6" t="inlineStr">
        <is>
          <t>A</t>
        </is>
      </c>
      <c r="AE131" s="6" t="n">
        <v>0</v>
      </c>
      <c r="AF131" s="6" t="n">
        <v>0.1225</v>
      </c>
      <c r="AG131" s="6" t="n">
        <v>0.81480900767149</v>
      </c>
      <c r="AH131" s="6" t="n">
        <v>0</v>
      </c>
    </row>
    <row r="132">
      <c r="A132" s="6" t="inlineStr">
        <is>
          <t>E275</t>
        </is>
      </c>
      <c r="B132" s="6" t="n">
        <v>0.07632121005375421</v>
      </c>
      <c r="C132" s="6" t="inlineStr">
        <is>
          <t>A</t>
        </is>
      </c>
      <c r="D132" s="6" t="n">
        <v>0.6905105509516224</v>
      </c>
      <c r="E132" s="6" t="n">
        <v>0.09719265836235709</v>
      </c>
      <c r="F132" s="6" t="n">
        <v>0.2168492537648782</v>
      </c>
      <c r="G132" s="6" t="n">
        <v>131</v>
      </c>
      <c r="H132" s="6" t="n">
        <v>129</v>
      </c>
      <c r="I132" s="6" t="inlineStr">
        <is>
          <t>***网络工程有限公司</t>
        </is>
      </c>
      <c r="J132" s="6" t="b">
        <v>0</v>
      </c>
      <c r="K132" s="6" t="inlineStr">
        <is>
          <t>正面/轻影响</t>
        </is>
      </c>
      <c r="L132" s="6" t="n">
        <v>0.9</v>
      </c>
      <c r="M132" s="6" t="n">
        <v>0.9</v>
      </c>
      <c r="N132" s="6" t="n">
        <v>0.08408826471369693</v>
      </c>
      <c r="O132" s="6" t="inlineStr">
        <is>
          <t>A</t>
        </is>
      </c>
      <c r="P132" s="6" t="n">
        <v>0</v>
      </c>
      <c r="Q132" s="6" t="n">
        <v>0.1225</v>
      </c>
      <c r="R132" s="6" t="n">
        <v>0.81480900767149</v>
      </c>
      <c r="S132" s="6" t="n">
        <v>0.00784430630005728</v>
      </c>
      <c r="T132" s="6" t="inlineStr"/>
      <c r="U132" s="6" t="n">
        <v>0</v>
      </c>
      <c r="V132" s="6" t="n">
        <v>0</v>
      </c>
      <c r="W132" s="6" t="n">
        <v>0</v>
      </c>
      <c r="X132" s="6" t="n">
        <v>0</v>
      </c>
      <c r="Y132" s="6" t="n">
        <v>0</v>
      </c>
      <c r="Z132" s="6" t="n">
        <v>0</v>
      </c>
      <c r="AA132" s="9">
        <f>P132*(1-R132)*((1-B132)*Q132-B132*'模型说明与假设'!$B$7-'模型说明与假设'!$B$8)</f>
        <v/>
      </c>
      <c r="AB132" s="6" t="b">
        <v>0</v>
      </c>
      <c r="AC132" s="6" t="n">
        <v>0.08408826471369693</v>
      </c>
      <c r="AD132" s="6" t="inlineStr">
        <is>
          <t>A</t>
        </is>
      </c>
      <c r="AE132" s="6" t="n">
        <v>0</v>
      </c>
      <c r="AF132" s="6" t="n">
        <v>0.1225</v>
      </c>
      <c r="AG132" s="6" t="n">
        <v>0.81480900767149</v>
      </c>
      <c r="AH132" s="6" t="n">
        <v>0</v>
      </c>
    </row>
    <row r="133">
      <c r="A133" s="6" t="inlineStr">
        <is>
          <t>E262</t>
        </is>
      </c>
      <c r="B133" s="6" t="n">
        <v>0.08449449199347288</v>
      </c>
      <c r="C133" s="6" t="inlineStr">
        <is>
          <t>A</t>
        </is>
      </c>
      <c r="D133" s="6" t="n">
        <v>0.7033598360989164</v>
      </c>
      <c r="E133" s="6" t="n">
        <v>0.090111861250496</v>
      </c>
      <c r="F133" s="6" t="n">
        <v>0.2136631234496349</v>
      </c>
      <c r="G133" s="6" t="n">
        <v>132</v>
      </c>
      <c r="H133" s="6" t="n">
        <v>109</v>
      </c>
      <c r="I133" s="6" t="inlineStr">
        <is>
          <t xml:space="preserve">个体经营E262 </t>
        </is>
      </c>
      <c r="J133" s="6" t="b">
        <v>0</v>
      </c>
      <c r="K133" s="6" t="inlineStr">
        <is>
          <t>未知</t>
        </is>
      </c>
      <c r="L133" s="6" t="n">
        <v>0</v>
      </c>
      <c r="M133" s="6" t="n">
        <v>1</v>
      </c>
      <c r="N133" s="6" t="n">
        <v>0.08449449199347288</v>
      </c>
      <c r="O133" s="6" t="inlineStr">
        <is>
          <t>A</t>
        </is>
      </c>
      <c r="P133" s="6" t="n">
        <v>0</v>
      </c>
      <c r="Q133" s="6" t="n">
        <v>0.1225</v>
      </c>
      <c r="R133" s="6" t="n">
        <v>0.81480900767149</v>
      </c>
      <c r="S133" s="6" t="n">
        <v>0.006750717155616812</v>
      </c>
      <c r="T133" s="6" t="inlineStr"/>
      <c r="U133" s="6" t="n">
        <v>0</v>
      </c>
      <c r="V133" s="6" t="n">
        <v>0</v>
      </c>
      <c r="W133" s="6" t="n">
        <v>0</v>
      </c>
      <c r="X133" s="6" t="n">
        <v>0</v>
      </c>
      <c r="Y133" s="6" t="n">
        <v>0</v>
      </c>
      <c r="Z133" s="6" t="n">
        <v>0</v>
      </c>
      <c r="AA133" s="9">
        <f>P133*(1-R133)*((1-B133)*Q133-B133*'模型说明与假设'!$B$7-'模型说明与假设'!$B$8)</f>
        <v/>
      </c>
      <c r="AB133" s="6" t="b">
        <v>0</v>
      </c>
      <c r="AC133" s="6" t="n">
        <v>0.08449449199347288</v>
      </c>
      <c r="AD133" s="6" t="inlineStr">
        <is>
          <t>A</t>
        </is>
      </c>
      <c r="AE133" s="6" t="n">
        <v>0</v>
      </c>
      <c r="AF133" s="6" t="n">
        <v>0.1225</v>
      </c>
      <c r="AG133" s="6" t="n">
        <v>0.81480900767149</v>
      </c>
      <c r="AH133" s="6" t="n">
        <v>0</v>
      </c>
    </row>
    <row r="134">
      <c r="A134" s="6" t="inlineStr">
        <is>
          <t>E283</t>
        </is>
      </c>
      <c r="B134" s="6" t="n">
        <v>0.08553334989410247</v>
      </c>
      <c r="C134" s="6" t="inlineStr">
        <is>
          <t>A</t>
        </is>
      </c>
      <c r="D134" s="6" t="n">
        <v>0.6952809402681484</v>
      </c>
      <c r="E134" s="6" t="n">
        <v>0.09599927539131266</v>
      </c>
      <c r="F134" s="6" t="n">
        <v>0.2190426372340106</v>
      </c>
      <c r="G134" s="6" t="n">
        <v>133</v>
      </c>
      <c r="H134" s="6" t="n">
        <v>120</v>
      </c>
      <c r="I134" s="6" t="inlineStr">
        <is>
          <t>***机械铸造有限责任公司</t>
        </is>
      </c>
      <c r="J134" s="6" t="b">
        <v>0</v>
      </c>
      <c r="K134" s="6" t="inlineStr">
        <is>
          <t>其他</t>
        </is>
      </c>
      <c r="L134" s="6" t="n">
        <v>0.3</v>
      </c>
      <c r="M134" s="6" t="n">
        <v>1</v>
      </c>
      <c r="N134" s="6" t="n">
        <v>0.08553334989410248</v>
      </c>
      <c r="O134" s="6" t="inlineStr">
        <is>
          <t>A</t>
        </is>
      </c>
      <c r="P134" s="6" t="n">
        <v>0</v>
      </c>
      <c r="Q134" s="6" t="n">
        <v>0.1225</v>
      </c>
      <c r="R134" s="6" t="n">
        <v>0.81480900767149</v>
      </c>
      <c r="S134" s="6" t="n">
        <v>0.006611717457438795</v>
      </c>
      <c r="T134" s="6" t="inlineStr"/>
      <c r="U134" s="6" t="n">
        <v>0</v>
      </c>
      <c r="V134" s="6" t="n">
        <v>0</v>
      </c>
      <c r="W134" s="6" t="n">
        <v>0</v>
      </c>
      <c r="X134" s="6" t="n">
        <v>0</v>
      </c>
      <c r="Y134" s="6" t="n">
        <v>0</v>
      </c>
      <c r="Z134" s="6" t="n">
        <v>0</v>
      </c>
      <c r="AA134" s="9">
        <f>P134*(1-R134)*((1-B134)*Q134-B134*'模型说明与假设'!$B$7-'模型说明与假设'!$B$8)</f>
        <v/>
      </c>
      <c r="AB134" s="6" t="b">
        <v>0</v>
      </c>
      <c r="AC134" s="6" t="n">
        <v>0.08553334989410248</v>
      </c>
      <c r="AD134" s="6" t="inlineStr">
        <is>
          <t>A</t>
        </is>
      </c>
      <c r="AE134" s="6" t="n">
        <v>0</v>
      </c>
      <c r="AF134" s="6" t="n">
        <v>0.1225</v>
      </c>
      <c r="AG134" s="6" t="n">
        <v>0.81480900767149</v>
      </c>
      <c r="AH134" s="6" t="n">
        <v>0</v>
      </c>
    </row>
    <row r="135">
      <c r="A135" s="6" t="inlineStr">
        <is>
          <t>E222</t>
        </is>
      </c>
      <c r="B135" s="6" t="n">
        <v>0.07822742032722269</v>
      </c>
      <c r="C135" s="6" t="inlineStr">
        <is>
          <t>A</t>
        </is>
      </c>
      <c r="D135" s="6" t="n">
        <v>0.7155304113618917</v>
      </c>
      <c r="E135" s="6" t="n">
        <v>0.08573404320633729</v>
      </c>
      <c r="F135" s="6" t="n">
        <v>0.2156480609995537</v>
      </c>
      <c r="G135" s="6" t="n">
        <v>134</v>
      </c>
      <c r="H135" s="6" t="n">
        <v>89</v>
      </c>
      <c r="I135" s="6" t="inlineStr">
        <is>
          <t>***数码科技有限公司</t>
        </is>
      </c>
      <c r="J135" s="6" t="b">
        <v>0</v>
      </c>
      <c r="K135" s="6" t="inlineStr">
        <is>
          <t>正面/轻影响</t>
        </is>
      </c>
      <c r="L135" s="6" t="n">
        <v>0.9</v>
      </c>
      <c r="M135" s="6" t="n">
        <v>0.9</v>
      </c>
      <c r="N135" s="6" t="n">
        <v>0.08617036862511536</v>
      </c>
      <c r="O135" s="6" t="inlineStr">
        <is>
          <t>A</t>
        </is>
      </c>
      <c r="P135" s="6" t="n">
        <v>0</v>
      </c>
      <c r="Q135" s="6" t="n">
        <v>0.1225</v>
      </c>
      <c r="R135" s="6" t="n">
        <v>0.81480900767149</v>
      </c>
      <c r="S135" s="6" t="n">
        <v>0.007589254427693045</v>
      </c>
      <c r="T135" s="6" t="inlineStr"/>
      <c r="U135" s="6" t="n">
        <v>0</v>
      </c>
      <c r="V135" s="6" t="n">
        <v>0</v>
      </c>
      <c r="W135" s="6" t="n">
        <v>0</v>
      </c>
      <c r="X135" s="6" t="n">
        <v>0</v>
      </c>
      <c r="Y135" s="6" t="n">
        <v>0</v>
      </c>
      <c r="Z135" s="6" t="n">
        <v>0</v>
      </c>
      <c r="AA135" s="9">
        <f>P135*(1-R135)*((1-B135)*Q135-B135*'模型说明与假设'!$B$7-'模型说明与假设'!$B$8)</f>
        <v/>
      </c>
      <c r="AB135" s="6" t="b">
        <v>0</v>
      </c>
      <c r="AC135" s="6" t="n">
        <v>0.08617036862511536</v>
      </c>
      <c r="AD135" s="6" t="inlineStr">
        <is>
          <t>A</t>
        </is>
      </c>
      <c r="AE135" s="6" t="n">
        <v>0</v>
      </c>
      <c r="AF135" s="6" t="n">
        <v>0.1225</v>
      </c>
      <c r="AG135" s="6" t="n">
        <v>0.81480900767149</v>
      </c>
      <c r="AH135" s="6" t="n">
        <v>0</v>
      </c>
    </row>
    <row r="136">
      <c r="A136" s="6" t="inlineStr">
        <is>
          <t>E321</t>
        </is>
      </c>
      <c r="B136" s="6" t="n">
        <v>0.09809932993376418</v>
      </c>
      <c r="C136" s="6" t="inlineStr">
        <is>
          <t>A</t>
        </is>
      </c>
      <c r="D136" s="6" t="n">
        <v>0.6918613554756503</v>
      </c>
      <c r="E136" s="6" t="n">
        <v>0.09646370128275941</v>
      </c>
      <c r="F136" s="6" t="n">
        <v>0.216589214983758</v>
      </c>
      <c r="G136" s="6" t="n">
        <v>135</v>
      </c>
      <c r="H136" s="6" t="n">
        <v>126</v>
      </c>
      <c r="I136" s="6" t="inlineStr">
        <is>
          <t>***生物流有限公司</t>
        </is>
      </c>
      <c r="J136" s="6" t="b">
        <v>0</v>
      </c>
      <c r="K136" s="6" t="inlineStr">
        <is>
          <t>中度负面</t>
        </is>
      </c>
      <c r="L136" s="6" t="n">
        <v>0.9</v>
      </c>
      <c r="M136" s="6" t="n">
        <v>1.15</v>
      </c>
      <c r="N136" s="6" t="n">
        <v>0.08640942252276627</v>
      </c>
      <c r="O136" s="6" t="inlineStr">
        <is>
          <t>A</t>
        </is>
      </c>
      <c r="P136" s="6" t="n">
        <v>0</v>
      </c>
      <c r="Q136" s="6" t="n">
        <v>0.1425</v>
      </c>
      <c r="R136" s="6" t="n">
        <v>0.880180313431412</v>
      </c>
      <c r="S136" s="6" t="n">
        <v>0.005351296680109386</v>
      </c>
      <c r="T136" s="6" t="inlineStr"/>
      <c r="U136" s="6" t="n">
        <v>0</v>
      </c>
      <c r="V136" s="6" t="n">
        <v>0</v>
      </c>
      <c r="W136" s="6" t="n">
        <v>0</v>
      </c>
      <c r="X136" s="6" t="n">
        <v>0</v>
      </c>
      <c r="Y136" s="6" t="n">
        <v>0</v>
      </c>
      <c r="Z136" s="6" t="n">
        <v>0</v>
      </c>
      <c r="AA136" s="9">
        <f>P136*(1-R136)*((1-B136)*Q136-B136*'模型说明与假设'!$B$7-'模型说明与假设'!$B$8)</f>
        <v/>
      </c>
      <c r="AB136" s="6" t="b">
        <v>0</v>
      </c>
      <c r="AC136" s="6" t="n">
        <v>0.08640942252276627</v>
      </c>
      <c r="AD136" s="6" t="inlineStr">
        <is>
          <t>A</t>
        </is>
      </c>
      <c r="AE136" s="6" t="n">
        <v>0</v>
      </c>
      <c r="AF136" s="6" t="n">
        <v>0.1225</v>
      </c>
      <c r="AG136" s="6" t="n">
        <v>0.81480900767149</v>
      </c>
      <c r="AH136" s="6" t="n">
        <v>0</v>
      </c>
    </row>
    <row r="137">
      <c r="A137" s="6" t="inlineStr">
        <is>
          <t>E226</t>
        </is>
      </c>
      <c r="B137" s="6" t="n">
        <v>0.09837710286174746</v>
      </c>
      <c r="C137" s="6" t="inlineStr">
        <is>
          <t>A</t>
        </is>
      </c>
      <c r="D137" s="6" t="n">
        <v>0.5576019473632704</v>
      </c>
      <c r="E137" s="6" t="n">
        <v>0.1431353836909505</v>
      </c>
      <c r="F137" s="6" t="n">
        <v>0.1804089511854161</v>
      </c>
      <c r="G137" s="6" t="n">
        <v>136</v>
      </c>
      <c r="H137" s="6" t="n">
        <v>257</v>
      </c>
      <c r="I137" s="6" t="inlineStr">
        <is>
          <t>***建设工程有限公司</t>
        </is>
      </c>
      <c r="J137" s="6" t="b">
        <v>0</v>
      </c>
      <c r="K137" s="6" t="inlineStr">
        <is>
          <t>中度负面</t>
        </is>
      </c>
      <c r="L137" s="6" t="n">
        <v>0.9</v>
      </c>
      <c r="M137" s="6" t="n">
        <v>1.15</v>
      </c>
      <c r="N137" s="6" t="n">
        <v>0.08665727531729453</v>
      </c>
      <c r="O137" s="6" t="inlineStr">
        <is>
          <t>A</t>
        </is>
      </c>
      <c r="P137" s="6" t="n">
        <v>0</v>
      </c>
      <c r="Q137" s="6" t="n">
        <v>0.1425</v>
      </c>
      <c r="R137" s="6" t="n">
        <v>0.880180313431412</v>
      </c>
      <c r="S137" s="6" t="n">
        <v>0.005326584301221998</v>
      </c>
      <c r="T137" s="6" t="inlineStr"/>
      <c r="U137" s="6" t="n">
        <v>0</v>
      </c>
      <c r="V137" s="6" t="n">
        <v>0</v>
      </c>
      <c r="W137" s="6" t="n">
        <v>0</v>
      </c>
      <c r="X137" s="6" t="n">
        <v>0</v>
      </c>
      <c r="Y137" s="6" t="n">
        <v>0</v>
      </c>
      <c r="Z137" s="6" t="n">
        <v>0</v>
      </c>
      <c r="AA137" s="9">
        <f>P137*(1-R137)*((1-B137)*Q137-B137*'模型说明与假设'!$B$7-'模型说明与假设'!$B$8)</f>
        <v/>
      </c>
      <c r="AB137" s="6" t="b">
        <v>0</v>
      </c>
      <c r="AC137" s="6" t="n">
        <v>0.08665727531729453</v>
      </c>
      <c r="AD137" s="6" t="inlineStr">
        <is>
          <t>A</t>
        </is>
      </c>
      <c r="AE137" s="6" t="n">
        <v>0</v>
      </c>
      <c r="AF137" s="6" t="n">
        <v>0.1225</v>
      </c>
      <c r="AG137" s="6" t="n">
        <v>0.81480900767149</v>
      </c>
      <c r="AH137" s="6" t="n">
        <v>0</v>
      </c>
    </row>
    <row r="138">
      <c r="A138" s="6" t="inlineStr">
        <is>
          <t>E318</t>
        </is>
      </c>
      <c r="B138" s="6" t="n">
        <v>0.09848951554902143</v>
      </c>
      <c r="C138" s="6" t="inlineStr">
        <is>
          <t>A</t>
        </is>
      </c>
      <c r="D138" s="6" t="n">
        <v>0.6716053901945357</v>
      </c>
      <c r="E138" s="6" t="n">
        <v>0.1075525164877154</v>
      </c>
      <c r="F138" s="6" t="n">
        <v>0.219957476905379</v>
      </c>
      <c r="G138" s="6" t="n">
        <v>137</v>
      </c>
      <c r="H138" s="6" t="n">
        <v>157</v>
      </c>
      <c r="I138" s="6" t="inlineStr">
        <is>
          <t>***商贸有限公司</t>
        </is>
      </c>
      <c r="J138" s="6" t="b">
        <v>0</v>
      </c>
      <c r="K138" s="6" t="inlineStr">
        <is>
          <t>中度负面</t>
        </is>
      </c>
      <c r="L138" s="6" t="n">
        <v>0.9</v>
      </c>
      <c r="M138" s="6" t="n">
        <v>1.15</v>
      </c>
      <c r="N138" s="6" t="n">
        <v>0.08675758471507838</v>
      </c>
      <c r="O138" s="6" t="inlineStr">
        <is>
          <t>A</t>
        </is>
      </c>
      <c r="P138" s="6" t="n">
        <v>0</v>
      </c>
      <c r="Q138" s="6" t="n">
        <v>0.1425</v>
      </c>
      <c r="R138" s="6" t="n">
        <v>0.880180313431412</v>
      </c>
      <c r="S138" s="6" t="n">
        <v>0.00531658338090254</v>
      </c>
      <c r="T138" s="6" t="inlineStr"/>
      <c r="U138" s="6" t="n">
        <v>0</v>
      </c>
      <c r="V138" s="6" t="n">
        <v>0</v>
      </c>
      <c r="W138" s="6" t="n">
        <v>0</v>
      </c>
      <c r="X138" s="6" t="n">
        <v>0</v>
      </c>
      <c r="Y138" s="6" t="n">
        <v>0</v>
      </c>
      <c r="Z138" s="6" t="n">
        <v>0</v>
      </c>
      <c r="AA138" s="9">
        <f>P138*(1-R138)*((1-B138)*Q138-B138*'模型说明与假设'!$B$7-'模型说明与假设'!$B$8)</f>
        <v/>
      </c>
      <c r="AB138" s="6" t="b">
        <v>0</v>
      </c>
      <c r="AC138" s="6" t="n">
        <v>0.08675758471507838</v>
      </c>
      <c r="AD138" s="6" t="inlineStr">
        <is>
          <t>A</t>
        </is>
      </c>
      <c r="AE138" s="6" t="n">
        <v>0</v>
      </c>
      <c r="AF138" s="6" t="n">
        <v>0.1225</v>
      </c>
      <c r="AG138" s="6" t="n">
        <v>0.81480900767149</v>
      </c>
      <c r="AH138" s="6" t="n">
        <v>0</v>
      </c>
    </row>
    <row r="139">
      <c r="A139" s="6" t="inlineStr">
        <is>
          <t>E236</t>
        </is>
      </c>
      <c r="B139" s="6" t="n">
        <v>0.08760953142571443</v>
      </c>
      <c r="C139" s="6" t="inlineStr">
        <is>
          <t>A</t>
        </is>
      </c>
      <c r="D139" s="6" t="n">
        <v>0.6655636852232807</v>
      </c>
      <c r="E139" s="6" t="n">
        <v>0.1073471035364826</v>
      </c>
      <c r="F139" s="6" t="n">
        <v>0.2136321047416347</v>
      </c>
      <c r="G139" s="6" t="n">
        <v>138</v>
      </c>
      <c r="H139" s="6" t="n">
        <v>162</v>
      </c>
      <c r="I139" s="6" t="inlineStr">
        <is>
          <t xml:space="preserve">个体经营E236 </t>
        </is>
      </c>
      <c r="J139" s="6" t="b">
        <v>0</v>
      </c>
      <c r="K139" s="6" t="inlineStr">
        <is>
          <t>未知</t>
        </is>
      </c>
      <c r="L139" s="6" t="n">
        <v>0</v>
      </c>
      <c r="M139" s="6" t="n">
        <v>1</v>
      </c>
      <c r="N139" s="6" t="n">
        <v>0.08760953142571443</v>
      </c>
      <c r="O139" s="6" t="inlineStr">
        <is>
          <t>A</t>
        </is>
      </c>
      <c r="P139" s="6" t="n">
        <v>0</v>
      </c>
      <c r="Q139" s="6" t="n">
        <v>0.1225</v>
      </c>
      <c r="R139" s="6" t="n">
        <v>0.81480900767149</v>
      </c>
      <c r="S139" s="6" t="n">
        <v>0.006333923347116354</v>
      </c>
      <c r="T139" s="6" t="inlineStr"/>
      <c r="U139" s="6" t="n">
        <v>0</v>
      </c>
      <c r="V139" s="6" t="n">
        <v>0</v>
      </c>
      <c r="W139" s="6" t="n">
        <v>0</v>
      </c>
      <c r="X139" s="6" t="n">
        <v>0</v>
      </c>
      <c r="Y139" s="6" t="n">
        <v>0</v>
      </c>
      <c r="Z139" s="6" t="n">
        <v>0</v>
      </c>
      <c r="AA139" s="9">
        <f>P139*(1-R139)*((1-B139)*Q139-B139*'模型说明与假设'!$B$7-'模型说明与假设'!$B$8)</f>
        <v/>
      </c>
      <c r="AB139" s="6" t="b">
        <v>0</v>
      </c>
      <c r="AC139" s="6" t="n">
        <v>0.08760953142571443</v>
      </c>
      <c r="AD139" s="6" t="inlineStr">
        <is>
          <t>A</t>
        </is>
      </c>
      <c r="AE139" s="6" t="n">
        <v>0</v>
      </c>
      <c r="AF139" s="6" t="n">
        <v>0.1225</v>
      </c>
      <c r="AG139" s="6" t="n">
        <v>0.81480900767149</v>
      </c>
      <c r="AH139" s="6" t="n">
        <v>0</v>
      </c>
    </row>
    <row r="140">
      <c r="A140" s="6" t="inlineStr">
        <is>
          <t>E184</t>
        </is>
      </c>
      <c r="B140" s="6" t="n">
        <v>0.09998322214306471</v>
      </c>
      <c r="C140" s="6" t="inlineStr">
        <is>
          <t>A</t>
        </is>
      </c>
      <c r="D140" s="6" t="n">
        <v>0.7198826990655484</v>
      </c>
      <c r="E140" s="6" t="n">
        <v>0.08451458372574307</v>
      </c>
      <c r="F140" s="6" t="n">
        <v>0.2171968187610308</v>
      </c>
      <c r="G140" s="6" t="n">
        <v>139</v>
      </c>
      <c r="H140" s="6" t="n">
        <v>81</v>
      </c>
      <c r="I140" s="6" t="inlineStr">
        <is>
          <t>***建筑装饰工程有限公司</t>
        </is>
      </c>
      <c r="J140" s="6" t="b">
        <v>0</v>
      </c>
      <c r="K140" s="6" t="inlineStr">
        <is>
          <t>中度负面</t>
        </is>
      </c>
      <c r="L140" s="6" t="n">
        <v>0.9</v>
      </c>
      <c r="M140" s="6" t="n">
        <v>1.15</v>
      </c>
      <c r="N140" s="6" t="n">
        <v>0.08809074929248138</v>
      </c>
      <c r="O140" s="6" t="inlineStr">
        <is>
          <t>A</t>
        </is>
      </c>
      <c r="P140" s="6" t="n">
        <v>0</v>
      </c>
      <c r="Q140" s="6" t="n">
        <v>0.1425</v>
      </c>
      <c r="R140" s="6" t="n">
        <v>0.880180313431412</v>
      </c>
      <c r="S140" s="6" t="n">
        <v>0.005183694104879194</v>
      </c>
      <c r="T140" s="6" t="inlineStr"/>
      <c r="U140" s="6" t="n">
        <v>0</v>
      </c>
      <c r="V140" s="6" t="n">
        <v>0</v>
      </c>
      <c r="W140" s="6" t="n">
        <v>0</v>
      </c>
      <c r="X140" s="6" t="n">
        <v>0</v>
      </c>
      <c r="Y140" s="6" t="n">
        <v>0</v>
      </c>
      <c r="Z140" s="6" t="n">
        <v>0</v>
      </c>
      <c r="AA140" s="9">
        <f>P140*(1-R140)*((1-B140)*Q140-B140*'模型说明与假设'!$B$7-'模型说明与假设'!$B$8)</f>
        <v/>
      </c>
      <c r="AB140" s="6" t="b">
        <v>0</v>
      </c>
      <c r="AC140" s="6" t="n">
        <v>0.08809074929248138</v>
      </c>
      <c r="AD140" s="6" t="inlineStr">
        <is>
          <t>A</t>
        </is>
      </c>
      <c r="AE140" s="6" t="n">
        <v>0</v>
      </c>
      <c r="AF140" s="6" t="n">
        <v>0.1225</v>
      </c>
      <c r="AG140" s="6" t="n">
        <v>0.81480900767149</v>
      </c>
      <c r="AH140" s="6" t="n">
        <v>0</v>
      </c>
    </row>
    <row r="141">
      <c r="A141" s="6" t="inlineStr">
        <is>
          <t>E253</t>
        </is>
      </c>
      <c r="B141" s="6" t="n">
        <v>0.08818313451599233</v>
      </c>
      <c r="C141" s="6" t="inlineStr">
        <is>
          <t>A</t>
        </is>
      </c>
      <c r="D141" s="6" t="n">
        <v>0.7256158707570259</v>
      </c>
      <c r="E141" s="6" t="n">
        <v>0.08224850445323213</v>
      </c>
      <c r="F141" s="6" t="n">
        <v>0.2175082806062966</v>
      </c>
      <c r="G141" s="6" t="n">
        <v>140</v>
      </c>
      <c r="H141" s="6" t="n">
        <v>72</v>
      </c>
      <c r="I141" s="6" t="inlineStr">
        <is>
          <t>***钢结构工程有限公司</t>
        </is>
      </c>
      <c r="J141" s="6" t="b">
        <v>0</v>
      </c>
      <c r="K141" s="6" t="inlineStr">
        <is>
          <t>其他</t>
        </is>
      </c>
      <c r="L141" s="6" t="n">
        <v>0.3</v>
      </c>
      <c r="M141" s="6" t="n">
        <v>1</v>
      </c>
      <c r="N141" s="6" t="n">
        <v>0.08818313451599233</v>
      </c>
      <c r="O141" s="6" t="inlineStr">
        <is>
          <t>A</t>
        </is>
      </c>
      <c r="P141" s="6" t="n">
        <v>0</v>
      </c>
      <c r="Q141" s="6" t="n">
        <v>0.1225</v>
      </c>
      <c r="R141" s="6" t="n">
        <v>0.81480900767149</v>
      </c>
      <c r="S141" s="6" t="n">
        <v>0.006257174971448913</v>
      </c>
      <c r="T141" s="6" t="inlineStr"/>
      <c r="U141" s="6" t="n">
        <v>0</v>
      </c>
      <c r="V141" s="6" t="n">
        <v>0</v>
      </c>
      <c r="W141" s="6" t="n">
        <v>0</v>
      </c>
      <c r="X141" s="6" t="n">
        <v>0</v>
      </c>
      <c r="Y141" s="6" t="n">
        <v>0</v>
      </c>
      <c r="Z141" s="6" t="n">
        <v>0</v>
      </c>
      <c r="AA141" s="9">
        <f>P141*(1-R141)*((1-B141)*Q141-B141*'模型说明与假设'!$B$7-'模型说明与假设'!$B$8)</f>
        <v/>
      </c>
      <c r="AB141" s="6" t="b">
        <v>0</v>
      </c>
      <c r="AC141" s="6" t="n">
        <v>0.08818313451599233</v>
      </c>
      <c r="AD141" s="6" t="inlineStr">
        <is>
          <t>A</t>
        </is>
      </c>
      <c r="AE141" s="6" t="n">
        <v>0</v>
      </c>
      <c r="AF141" s="6" t="n">
        <v>0.1225</v>
      </c>
      <c r="AG141" s="6" t="n">
        <v>0.81480900767149</v>
      </c>
      <c r="AH141" s="6" t="n">
        <v>0</v>
      </c>
    </row>
    <row r="142">
      <c r="A142" s="6" t="inlineStr">
        <is>
          <t>E257</t>
        </is>
      </c>
      <c r="B142" s="6" t="n">
        <v>0.08834009078566553</v>
      </c>
      <c r="C142" s="6" t="inlineStr">
        <is>
          <t>A</t>
        </is>
      </c>
      <c r="D142" s="6" t="n">
        <v>0.6883357645184629</v>
      </c>
      <c r="E142" s="6" t="n">
        <v>0.09711879450970375</v>
      </c>
      <c r="F142" s="6" t="n">
        <v>0.2144947416397048</v>
      </c>
      <c r="G142" s="6" t="n">
        <v>141</v>
      </c>
      <c r="H142" s="6" t="n">
        <v>133</v>
      </c>
      <c r="I142" s="6" t="inlineStr">
        <is>
          <t>***门窗安装有限公司</t>
        </is>
      </c>
      <c r="J142" s="6" t="b">
        <v>0</v>
      </c>
      <c r="K142" s="6" t="inlineStr">
        <is>
          <t>其他</t>
        </is>
      </c>
      <c r="L142" s="6" t="n">
        <v>0.3</v>
      </c>
      <c r="M142" s="6" t="n">
        <v>1</v>
      </c>
      <c r="N142" s="6" t="n">
        <v>0.08834009078566551</v>
      </c>
      <c r="O142" s="6" t="inlineStr">
        <is>
          <t>A</t>
        </is>
      </c>
      <c r="P142" s="6" t="n">
        <v>0</v>
      </c>
      <c r="Q142" s="6" t="n">
        <v>0.1225</v>
      </c>
      <c r="R142" s="6" t="n">
        <v>0.81480900767149</v>
      </c>
      <c r="S142" s="6" t="n">
        <v>0.00623617414535085</v>
      </c>
      <c r="T142" s="6" t="inlineStr"/>
      <c r="U142" s="6" t="n">
        <v>0</v>
      </c>
      <c r="V142" s="6" t="n">
        <v>0</v>
      </c>
      <c r="W142" s="6" t="n">
        <v>0</v>
      </c>
      <c r="X142" s="6" t="n">
        <v>0</v>
      </c>
      <c r="Y142" s="6" t="n">
        <v>0</v>
      </c>
      <c r="Z142" s="6" t="n">
        <v>0</v>
      </c>
      <c r="AA142" s="9">
        <f>P142*(1-R142)*((1-B142)*Q142-B142*'模型说明与假设'!$B$7-'模型说明与假设'!$B$8)</f>
        <v/>
      </c>
      <c r="AB142" s="6" t="b">
        <v>0</v>
      </c>
      <c r="AC142" s="6" t="n">
        <v>0.08834009078566551</v>
      </c>
      <c r="AD142" s="6" t="inlineStr">
        <is>
          <t>A</t>
        </is>
      </c>
      <c r="AE142" s="6" t="n">
        <v>0</v>
      </c>
      <c r="AF142" s="6" t="n">
        <v>0.1225</v>
      </c>
      <c r="AG142" s="6" t="n">
        <v>0.81480900767149</v>
      </c>
      <c r="AH142" s="6" t="n">
        <v>0</v>
      </c>
    </row>
    <row r="143">
      <c r="A143" s="6" t="inlineStr">
        <is>
          <t>E306</t>
        </is>
      </c>
      <c r="B143" s="6" t="n">
        <v>0.09012594697542184</v>
      </c>
      <c r="C143" s="6" t="inlineStr">
        <is>
          <t>A</t>
        </is>
      </c>
      <c r="D143" s="6" t="n">
        <v>0.7143784306049258</v>
      </c>
      <c r="E143" s="6" t="n">
        <v>0.0864698961505819</v>
      </c>
      <c r="F143" s="6" t="n">
        <v>0.2162729825953016</v>
      </c>
      <c r="G143" s="6" t="n">
        <v>142</v>
      </c>
      <c r="H143" s="6" t="n">
        <v>92</v>
      </c>
      <c r="I143" s="6" t="inlineStr">
        <is>
          <t xml:space="preserve">个体经营E306 </t>
        </is>
      </c>
      <c r="J143" s="6" t="b">
        <v>0</v>
      </c>
      <c r="K143" s="6" t="inlineStr">
        <is>
          <t>未知</t>
        </is>
      </c>
      <c r="L143" s="6" t="n">
        <v>0</v>
      </c>
      <c r="M143" s="6" t="n">
        <v>1</v>
      </c>
      <c r="N143" s="6" t="n">
        <v>0.09012594697542184</v>
      </c>
      <c r="O143" s="6" t="inlineStr">
        <is>
          <t>A</t>
        </is>
      </c>
      <c r="P143" s="6" t="n">
        <v>0</v>
      </c>
      <c r="Q143" s="6" t="n">
        <v>0.1425</v>
      </c>
      <c r="R143" s="6" t="n">
        <v>0.880180313431412</v>
      </c>
      <c r="S143" s="6" t="n">
        <v>0.006060657603477109</v>
      </c>
      <c r="T143" s="6" t="inlineStr"/>
      <c r="U143" s="6" t="n">
        <v>0</v>
      </c>
      <c r="V143" s="6" t="n">
        <v>0</v>
      </c>
      <c r="W143" s="6" t="n">
        <v>0</v>
      </c>
      <c r="X143" s="6" t="n">
        <v>0</v>
      </c>
      <c r="Y143" s="6" t="n">
        <v>0</v>
      </c>
      <c r="Z143" s="6" t="n">
        <v>0</v>
      </c>
      <c r="AA143" s="9">
        <f>P143*(1-R143)*((1-B143)*Q143-B143*'模型说明与假设'!$B$7-'模型说明与假设'!$B$8)</f>
        <v/>
      </c>
      <c r="AB143" s="6" t="b">
        <v>0</v>
      </c>
      <c r="AC143" s="6" t="n">
        <v>0.09012594697542184</v>
      </c>
      <c r="AD143" s="6" t="inlineStr">
        <is>
          <t>A</t>
        </is>
      </c>
      <c r="AE143" s="6" t="n">
        <v>0</v>
      </c>
      <c r="AF143" s="6" t="n">
        <v>0.1425</v>
      </c>
      <c r="AG143" s="6" t="n">
        <v>0.880180313431412</v>
      </c>
      <c r="AH143" s="6" t="n">
        <v>0</v>
      </c>
    </row>
    <row r="144">
      <c r="A144" s="6" t="inlineStr">
        <is>
          <t>E302</t>
        </is>
      </c>
      <c r="B144" s="6" t="n">
        <v>0.09103888375758722</v>
      </c>
      <c r="C144" s="6" t="inlineStr">
        <is>
          <t>A</t>
        </is>
      </c>
      <c r="D144" s="6" t="n">
        <v>0.7005950718901413</v>
      </c>
      <c r="E144" s="6" t="n">
        <v>0.09240237251143567</v>
      </c>
      <c r="F144" s="6" t="n">
        <v>0.2162177063054737</v>
      </c>
      <c r="G144" s="6" t="n">
        <v>143</v>
      </c>
      <c r="H144" s="6" t="n">
        <v>112</v>
      </c>
      <c r="I144" s="6" t="inlineStr">
        <is>
          <t>***机电设备有限公司</t>
        </is>
      </c>
      <c r="J144" s="6" t="b">
        <v>0</v>
      </c>
      <c r="K144" s="6" t="inlineStr">
        <is>
          <t>其他</t>
        </is>
      </c>
      <c r="L144" s="6" t="n">
        <v>0.3</v>
      </c>
      <c r="M144" s="6" t="n">
        <v>1</v>
      </c>
      <c r="N144" s="6" t="n">
        <v>0.09103888375758722</v>
      </c>
      <c r="O144" s="6" t="inlineStr">
        <is>
          <t>A</t>
        </is>
      </c>
      <c r="P144" s="6" t="n">
        <v>0</v>
      </c>
      <c r="Q144" s="6" t="n">
        <v>0.1425</v>
      </c>
      <c r="R144" s="6" t="n">
        <v>0.880180313431412</v>
      </c>
      <c r="S144" s="6" t="n">
        <v>0.005979437162648338</v>
      </c>
      <c r="T144" s="6" t="inlineStr"/>
      <c r="U144" s="6" t="n">
        <v>0</v>
      </c>
      <c r="V144" s="6" t="n">
        <v>0</v>
      </c>
      <c r="W144" s="6" t="n">
        <v>0</v>
      </c>
      <c r="X144" s="6" t="n">
        <v>0</v>
      </c>
      <c r="Y144" s="6" t="n">
        <v>0</v>
      </c>
      <c r="Z144" s="6" t="n">
        <v>0</v>
      </c>
      <c r="AA144" s="9">
        <f>P144*(1-R144)*((1-B144)*Q144-B144*'模型说明与假设'!$B$7-'模型说明与假设'!$B$8)</f>
        <v/>
      </c>
      <c r="AB144" s="6" t="b">
        <v>0</v>
      </c>
      <c r="AC144" s="6" t="n">
        <v>0.09103888375758722</v>
      </c>
      <c r="AD144" s="6" t="inlineStr">
        <is>
          <t>A</t>
        </is>
      </c>
      <c r="AE144" s="6" t="n">
        <v>0</v>
      </c>
      <c r="AF144" s="6" t="n">
        <v>0.1425</v>
      </c>
      <c r="AG144" s="6" t="n">
        <v>0.880180313431412</v>
      </c>
      <c r="AH144" s="6" t="n">
        <v>0</v>
      </c>
    </row>
    <row r="145">
      <c r="A145" s="6" t="inlineStr">
        <is>
          <t>E270</t>
        </is>
      </c>
      <c r="B145" s="6" t="n">
        <v>0.09123439248227305</v>
      </c>
      <c r="C145" s="6" t="inlineStr">
        <is>
          <t>A</t>
        </is>
      </c>
      <c r="D145" s="6" t="n">
        <v>0.7107382203111313</v>
      </c>
      <c r="E145" s="6" t="n">
        <v>0.08993011074320308</v>
      </c>
      <c r="F145" s="6" t="n">
        <v>0.2209651303769073</v>
      </c>
      <c r="G145" s="6" t="n">
        <v>144</v>
      </c>
      <c r="H145" s="6" t="n">
        <v>98</v>
      </c>
      <c r="I145" s="6" t="inlineStr">
        <is>
          <t xml:space="preserve">个体经营E270 </t>
        </is>
      </c>
      <c r="J145" s="6" t="b">
        <v>0</v>
      </c>
      <c r="K145" s="6" t="inlineStr">
        <is>
          <t>未知</t>
        </is>
      </c>
      <c r="L145" s="6" t="n">
        <v>0</v>
      </c>
      <c r="M145" s="6" t="n">
        <v>1</v>
      </c>
      <c r="N145" s="6" t="n">
        <v>0.09123439248227305</v>
      </c>
      <c r="O145" s="6" t="inlineStr">
        <is>
          <t>A</t>
        </is>
      </c>
      <c r="P145" s="6" t="n">
        <v>0</v>
      </c>
      <c r="Q145" s="6" t="n">
        <v>0.1425</v>
      </c>
      <c r="R145" s="6" t="n">
        <v>0.880180313431412</v>
      </c>
      <c r="S145" s="6" t="n">
        <v>0.005962043510519224</v>
      </c>
      <c r="T145" s="6" t="inlineStr"/>
      <c r="U145" s="6" t="n">
        <v>0</v>
      </c>
      <c r="V145" s="6" t="n">
        <v>0</v>
      </c>
      <c r="W145" s="6" t="n">
        <v>0</v>
      </c>
      <c r="X145" s="6" t="n">
        <v>0</v>
      </c>
      <c r="Y145" s="6" t="n">
        <v>0</v>
      </c>
      <c r="Z145" s="6" t="n">
        <v>0</v>
      </c>
      <c r="AA145" s="9">
        <f>P145*(1-R145)*((1-B145)*Q145-B145*'模型说明与假设'!$B$7-'模型说明与假设'!$B$8)</f>
        <v/>
      </c>
      <c r="AB145" s="6" t="b">
        <v>0</v>
      </c>
      <c r="AC145" s="6" t="n">
        <v>0.09123439248227305</v>
      </c>
      <c r="AD145" s="6" t="inlineStr">
        <is>
          <t>A</t>
        </is>
      </c>
      <c r="AE145" s="6" t="n">
        <v>0</v>
      </c>
      <c r="AF145" s="6" t="n">
        <v>0.1425</v>
      </c>
      <c r="AG145" s="6" t="n">
        <v>0.880180313431412</v>
      </c>
      <c r="AH145" s="6" t="n">
        <v>0</v>
      </c>
    </row>
    <row r="146">
      <c r="A146" s="6" t="inlineStr">
        <is>
          <t>E177</t>
        </is>
      </c>
      <c r="B146" s="6" t="n">
        <v>0.09138638763806457</v>
      </c>
      <c r="C146" s="6" t="inlineStr">
        <is>
          <t>A</t>
        </is>
      </c>
      <c r="D146" s="6" t="n">
        <v>0.7149472440280257</v>
      </c>
      <c r="E146" s="6" t="n">
        <v>0.08678538486394603</v>
      </c>
      <c r="F146" s="6" t="n">
        <v>0.2176683804330243</v>
      </c>
      <c r="G146" s="6" t="n">
        <v>145</v>
      </c>
      <c r="H146" s="6" t="n">
        <v>90</v>
      </c>
      <c r="I146" s="6" t="inlineStr">
        <is>
          <t>***电力工程有限公司</t>
        </is>
      </c>
      <c r="J146" s="6" t="b">
        <v>0</v>
      </c>
      <c r="K146" s="6" t="inlineStr">
        <is>
          <t>其他</t>
        </is>
      </c>
      <c r="L146" s="6" t="n">
        <v>0.3</v>
      </c>
      <c r="M146" s="6" t="n">
        <v>1</v>
      </c>
      <c r="N146" s="6" t="n">
        <v>0.09138638763806459</v>
      </c>
      <c r="O146" s="6" t="inlineStr">
        <is>
          <t>A</t>
        </is>
      </c>
      <c r="P146" s="6" t="n">
        <v>0</v>
      </c>
      <c r="Q146" s="6" t="n">
        <v>0.1425</v>
      </c>
      <c r="R146" s="6" t="n">
        <v>0.880180313431412</v>
      </c>
      <c r="S146" s="6" t="n">
        <v>0.005948521091663513</v>
      </c>
      <c r="T146" s="6" t="inlineStr"/>
      <c r="U146" s="6" t="n">
        <v>0</v>
      </c>
      <c r="V146" s="6" t="n">
        <v>0</v>
      </c>
      <c r="W146" s="6" t="n">
        <v>0</v>
      </c>
      <c r="X146" s="6" t="n">
        <v>0</v>
      </c>
      <c r="Y146" s="6" t="n">
        <v>0</v>
      </c>
      <c r="Z146" s="6" t="n">
        <v>0</v>
      </c>
      <c r="AA146" s="9">
        <f>P146*(1-R146)*((1-B146)*Q146-B146*'模型说明与假设'!$B$7-'模型说明与假设'!$B$8)</f>
        <v/>
      </c>
      <c r="AB146" s="6" t="b">
        <v>0</v>
      </c>
      <c r="AC146" s="6" t="n">
        <v>0.09138638763806459</v>
      </c>
      <c r="AD146" s="6" t="inlineStr">
        <is>
          <t>A</t>
        </is>
      </c>
      <c r="AE146" s="6" t="n">
        <v>0</v>
      </c>
      <c r="AF146" s="6" t="n">
        <v>0.1425</v>
      </c>
      <c r="AG146" s="6" t="n">
        <v>0.880180313431412</v>
      </c>
      <c r="AH146" s="6" t="n">
        <v>0</v>
      </c>
    </row>
    <row r="147">
      <c r="A147" s="6" t="inlineStr">
        <is>
          <t>E136</t>
        </is>
      </c>
      <c r="B147" s="6" t="n">
        <v>0.09170187932586274</v>
      </c>
      <c r="C147" s="6" t="inlineStr">
        <is>
          <t>A</t>
        </is>
      </c>
      <c r="D147" s="6" t="n">
        <v>0.6716802344202775</v>
      </c>
      <c r="E147" s="6" t="n">
        <v>0.1047964912248871</v>
      </c>
      <c r="F147" s="6" t="n">
        <v>0.2143938293451988</v>
      </c>
      <c r="G147" s="6" t="n">
        <v>146</v>
      </c>
      <c r="H147" s="6" t="n">
        <v>156</v>
      </c>
      <c r="I147" s="6" t="inlineStr">
        <is>
          <t>***机械有限责任公司</t>
        </is>
      </c>
      <c r="J147" s="6" t="b">
        <v>0</v>
      </c>
      <c r="K147" s="6" t="inlineStr">
        <is>
          <t>其他</t>
        </is>
      </c>
      <c r="L147" s="6" t="n">
        <v>0.3</v>
      </c>
      <c r="M147" s="6" t="n">
        <v>1</v>
      </c>
      <c r="N147" s="6" t="n">
        <v>0.09170187932586274</v>
      </c>
      <c r="O147" s="6" t="inlineStr">
        <is>
          <t>A</t>
        </is>
      </c>
      <c r="P147" s="6" t="n">
        <v>0</v>
      </c>
      <c r="Q147" s="6" t="n">
        <v>0.1425</v>
      </c>
      <c r="R147" s="6" t="n">
        <v>0.880180313431412</v>
      </c>
      <c r="S147" s="6" t="n">
        <v>0.005920453021166888</v>
      </c>
      <c r="T147" s="6" t="inlineStr"/>
      <c r="U147" s="6" t="n">
        <v>0</v>
      </c>
      <c r="V147" s="6" t="n">
        <v>0</v>
      </c>
      <c r="W147" s="6" t="n">
        <v>0</v>
      </c>
      <c r="X147" s="6" t="n">
        <v>0</v>
      </c>
      <c r="Y147" s="6" t="n">
        <v>0</v>
      </c>
      <c r="Z147" s="6" t="n">
        <v>0</v>
      </c>
      <c r="AA147" s="9">
        <f>P147*(1-R147)*((1-B147)*Q147-B147*'模型说明与假设'!$B$7-'模型说明与假设'!$B$8)</f>
        <v/>
      </c>
      <c r="AB147" s="6" t="b">
        <v>0</v>
      </c>
      <c r="AC147" s="6" t="n">
        <v>0.09170187932586274</v>
      </c>
      <c r="AD147" s="6" t="inlineStr">
        <is>
          <t>A</t>
        </is>
      </c>
      <c r="AE147" s="6" t="n">
        <v>0</v>
      </c>
      <c r="AF147" s="6" t="n">
        <v>0.1425</v>
      </c>
      <c r="AG147" s="6" t="n">
        <v>0.880180313431412</v>
      </c>
      <c r="AH147" s="6" t="n">
        <v>0</v>
      </c>
    </row>
    <row r="148">
      <c r="A148" s="6" t="inlineStr">
        <is>
          <t>E356</t>
        </is>
      </c>
      <c r="B148" s="6" t="n">
        <v>0.1061186666694606</v>
      </c>
      <c r="C148" s="6" t="inlineStr">
        <is>
          <t>B</t>
        </is>
      </c>
      <c r="D148" s="6" t="n">
        <v>0.6097420678639773</v>
      </c>
      <c r="E148" s="6" t="n">
        <v>0.1364812261049647</v>
      </c>
      <c r="F148" s="6" t="n">
        <v>0.2132393429503615</v>
      </c>
      <c r="G148" s="6" t="n">
        <v>147</v>
      </c>
      <c r="H148" s="6" t="n">
        <v>216</v>
      </c>
      <c r="I148" s="6" t="inlineStr">
        <is>
          <t>***建材装饰部</t>
        </is>
      </c>
      <c r="J148" s="6" t="b">
        <v>0</v>
      </c>
      <c r="K148" s="6" t="inlineStr">
        <is>
          <t>中度负面</t>
        </is>
      </c>
      <c r="L148" s="6" t="n">
        <v>0.9</v>
      </c>
      <c r="M148" s="6" t="n">
        <v>1.15</v>
      </c>
      <c r="N148" s="6" t="n">
        <v>0.09357228838394595</v>
      </c>
      <c r="O148" s="6" t="inlineStr">
        <is>
          <t>A</t>
        </is>
      </c>
      <c r="P148" s="6" t="n">
        <v>0</v>
      </c>
      <c r="Q148" s="6" t="n">
        <v>0.1425</v>
      </c>
      <c r="R148" s="6" t="n">
        <v>0.8439092945622555</v>
      </c>
      <c r="S148" s="6" t="n">
        <v>0.006041785765077363</v>
      </c>
      <c r="T148" s="6" t="inlineStr"/>
      <c r="U148" s="6" t="n">
        <v>0</v>
      </c>
      <c r="V148" s="6" t="n">
        <v>0</v>
      </c>
      <c r="W148" s="6" t="n">
        <v>0</v>
      </c>
      <c r="X148" s="6" t="n">
        <v>0</v>
      </c>
      <c r="Y148" s="6" t="n">
        <v>0</v>
      </c>
      <c r="Z148" s="6" t="n">
        <v>0</v>
      </c>
      <c r="AA148" s="9">
        <f>P148*(1-R148)*((1-B148)*Q148-B148*'模型说明与假设'!$B$7-'模型说明与假设'!$B$8)</f>
        <v/>
      </c>
      <c r="AB148" s="6" t="b">
        <v>0</v>
      </c>
      <c r="AC148" s="6" t="n">
        <v>0.09357228838394595</v>
      </c>
      <c r="AD148" s="6" t="inlineStr">
        <is>
          <t>A</t>
        </is>
      </c>
      <c r="AE148" s="6" t="n">
        <v>0</v>
      </c>
      <c r="AF148" s="6" t="n">
        <v>0.1425</v>
      </c>
      <c r="AG148" s="6" t="n">
        <v>0.880180313431412</v>
      </c>
      <c r="AH148" s="6" t="n">
        <v>0</v>
      </c>
    </row>
    <row r="149">
      <c r="A149" s="6" t="inlineStr">
        <is>
          <t>E343</t>
        </is>
      </c>
      <c r="B149" s="6" t="n">
        <v>0.09522381648603762</v>
      </c>
      <c r="C149" s="6" t="inlineStr">
        <is>
          <t>A</t>
        </is>
      </c>
      <c r="D149" s="6" t="n">
        <v>0.6383869439433519</v>
      </c>
      <c r="E149" s="6" t="n">
        <v>0.1217579736291258</v>
      </c>
      <c r="F149" s="6" t="n">
        <v>0.2149499288921039</v>
      </c>
      <c r="G149" s="6" t="n">
        <v>148</v>
      </c>
      <c r="H149" s="6" t="n">
        <v>190</v>
      </c>
      <c r="I149" s="6" t="inlineStr">
        <is>
          <t>***五金工具经营部</t>
        </is>
      </c>
      <c r="J149" s="6" t="b">
        <v>0</v>
      </c>
      <c r="K149" s="6" t="inlineStr">
        <is>
          <t>其他</t>
        </is>
      </c>
      <c r="L149" s="6" t="n">
        <v>0.3</v>
      </c>
      <c r="M149" s="6" t="n">
        <v>1</v>
      </c>
      <c r="N149" s="6" t="n">
        <v>0.0952238164860376</v>
      </c>
      <c r="O149" s="6" t="inlineStr">
        <is>
          <t>A</t>
        </is>
      </c>
      <c r="P149" s="6" t="n">
        <v>0</v>
      </c>
      <c r="Q149" s="6" t="n">
        <v>0.1425</v>
      </c>
      <c r="R149" s="6" t="n">
        <v>0.880180313431412</v>
      </c>
      <c r="S149" s="6" t="n">
        <v>0.005607119946731924</v>
      </c>
      <c r="T149" s="6" t="inlineStr"/>
      <c r="U149" s="6" t="n">
        <v>0</v>
      </c>
      <c r="V149" s="6" t="n">
        <v>0</v>
      </c>
      <c r="W149" s="6" t="n">
        <v>0</v>
      </c>
      <c r="X149" s="6" t="n">
        <v>0</v>
      </c>
      <c r="Y149" s="6" t="n">
        <v>0</v>
      </c>
      <c r="Z149" s="6" t="n">
        <v>0</v>
      </c>
      <c r="AA149" s="9">
        <f>P149*(1-R149)*((1-B149)*Q149-B149*'模型说明与假设'!$B$7-'模型说明与假设'!$B$8)</f>
        <v/>
      </c>
      <c r="AB149" s="6" t="b">
        <v>0</v>
      </c>
      <c r="AC149" s="6" t="n">
        <v>0.0952238164860376</v>
      </c>
      <c r="AD149" s="6" t="inlineStr">
        <is>
          <t>A</t>
        </is>
      </c>
      <c r="AE149" s="6" t="n">
        <v>0</v>
      </c>
      <c r="AF149" s="6" t="n">
        <v>0.1425</v>
      </c>
      <c r="AG149" s="6" t="n">
        <v>0.880180313431412</v>
      </c>
      <c r="AH149" s="6" t="n">
        <v>0</v>
      </c>
    </row>
    <row r="150">
      <c r="A150" s="6" t="inlineStr">
        <is>
          <t>E198</t>
        </is>
      </c>
      <c r="B150" s="6" t="n">
        <v>0.1086262241848145</v>
      </c>
      <c r="C150" s="6" t="inlineStr">
        <is>
          <t>B</t>
        </is>
      </c>
      <c r="D150" s="6" t="n">
        <v>0.5772985890763472</v>
      </c>
      <c r="E150" s="6" t="n">
        <v>0.1370895545935406</v>
      </c>
      <c r="F150" s="6" t="n">
        <v>0.1872281577462021</v>
      </c>
      <c r="G150" s="6" t="n">
        <v>149</v>
      </c>
      <c r="H150" s="6" t="n">
        <v>242</v>
      </c>
      <c r="I150" s="6" t="inlineStr">
        <is>
          <t>***商贸有限公司</t>
        </is>
      </c>
      <c r="J150" s="6" t="b">
        <v>0</v>
      </c>
      <c r="K150" s="6" t="inlineStr">
        <is>
          <t>中度负面</t>
        </is>
      </c>
      <c r="L150" s="6" t="n">
        <v>0.9</v>
      </c>
      <c r="M150" s="6" t="n">
        <v>1.15</v>
      </c>
      <c r="N150" s="6" t="n">
        <v>0.09581515650913408</v>
      </c>
      <c r="O150" s="6" t="inlineStr">
        <is>
          <t>A</t>
        </is>
      </c>
      <c r="P150" s="6" t="n">
        <v>0</v>
      </c>
      <c r="Q150" s="6" t="n">
        <v>0.1425</v>
      </c>
      <c r="R150" s="6" t="n">
        <v>0.8439092945622555</v>
      </c>
      <c r="S150" s="6" t="n">
        <v>0.005751166497115612</v>
      </c>
      <c r="T150" s="6" t="inlineStr"/>
      <c r="U150" s="6" t="n">
        <v>0</v>
      </c>
      <c r="V150" s="6" t="n">
        <v>0</v>
      </c>
      <c r="W150" s="6" t="n">
        <v>0</v>
      </c>
      <c r="X150" s="6" t="n">
        <v>0</v>
      </c>
      <c r="Y150" s="6" t="n">
        <v>0</v>
      </c>
      <c r="Z150" s="6" t="n">
        <v>0</v>
      </c>
      <c r="AA150" s="9">
        <f>P150*(1-R150)*((1-B150)*Q150-B150*'模型说明与假设'!$B$7-'模型说明与假设'!$B$8)</f>
        <v/>
      </c>
      <c r="AB150" s="6" t="b">
        <v>0</v>
      </c>
      <c r="AC150" s="6" t="n">
        <v>0.09581515650913408</v>
      </c>
      <c r="AD150" s="6" t="inlineStr">
        <is>
          <t>A</t>
        </is>
      </c>
      <c r="AE150" s="6" t="n">
        <v>0</v>
      </c>
      <c r="AF150" s="6" t="n">
        <v>0.1425</v>
      </c>
      <c r="AG150" s="6" t="n">
        <v>0.880180313431412</v>
      </c>
      <c r="AH150" s="6" t="n">
        <v>0</v>
      </c>
    </row>
    <row r="151">
      <c r="A151" s="6" t="inlineStr">
        <is>
          <t>E359</t>
        </is>
      </c>
      <c r="B151" s="6" t="n">
        <v>0.09635976003299716</v>
      </c>
      <c r="C151" s="6" t="inlineStr">
        <is>
          <t>A</t>
        </is>
      </c>
      <c r="D151" s="6" t="n">
        <v>0.6312960867564903</v>
      </c>
      <c r="E151" s="6" t="n">
        <v>0.1247521967337085</v>
      </c>
      <c r="F151" s="6" t="n">
        <v>0.2136011330052036</v>
      </c>
      <c r="G151" s="6" t="n">
        <v>150</v>
      </c>
      <c r="H151" s="6" t="n">
        <v>194</v>
      </c>
      <c r="I151" s="6" t="inlineStr">
        <is>
          <t>***厨房用品经营部</t>
        </is>
      </c>
      <c r="J151" s="6" t="b">
        <v>0</v>
      </c>
      <c r="K151" s="6" t="inlineStr">
        <is>
          <t>其他</t>
        </is>
      </c>
      <c r="L151" s="6" t="n">
        <v>0.3</v>
      </c>
      <c r="M151" s="6" t="n">
        <v>1</v>
      </c>
      <c r="N151" s="6" t="n">
        <v>0.09635976003299715</v>
      </c>
      <c r="O151" s="6" t="inlineStr">
        <is>
          <t>A</t>
        </is>
      </c>
      <c r="P151" s="6" t="n">
        <v>0</v>
      </c>
      <c r="Q151" s="6" t="n">
        <v>0.1425</v>
      </c>
      <c r="R151" s="6" t="n">
        <v>0.880180313431412</v>
      </c>
      <c r="S151" s="6" t="n">
        <v>0.005506059459912868</v>
      </c>
      <c r="T151" s="6" t="inlineStr"/>
      <c r="U151" s="6" t="n">
        <v>0</v>
      </c>
      <c r="V151" s="6" t="n">
        <v>0</v>
      </c>
      <c r="W151" s="6" t="n">
        <v>0</v>
      </c>
      <c r="X151" s="6" t="n">
        <v>0</v>
      </c>
      <c r="Y151" s="6" t="n">
        <v>0</v>
      </c>
      <c r="Z151" s="6" t="n">
        <v>0</v>
      </c>
      <c r="AA151" s="9">
        <f>P151*(1-R151)*((1-B151)*Q151-B151*'模型说明与假设'!$B$7-'模型说明与假设'!$B$8)</f>
        <v/>
      </c>
      <c r="AB151" s="6" t="b">
        <v>0</v>
      </c>
      <c r="AC151" s="6" t="n">
        <v>0.09635976003299715</v>
      </c>
      <c r="AD151" s="6" t="inlineStr">
        <is>
          <t>A</t>
        </is>
      </c>
      <c r="AE151" s="6" t="n">
        <v>0</v>
      </c>
      <c r="AF151" s="6" t="n">
        <v>0.1425</v>
      </c>
      <c r="AG151" s="6" t="n">
        <v>0.880180313431412</v>
      </c>
      <c r="AH151" s="6" t="n">
        <v>0</v>
      </c>
    </row>
    <row r="152">
      <c r="A152" s="6" t="inlineStr">
        <is>
          <t>E252</t>
        </is>
      </c>
      <c r="B152" s="6" t="n">
        <v>0.09665008872534764</v>
      </c>
      <c r="C152" s="6" t="inlineStr">
        <is>
          <t>A</t>
        </is>
      </c>
      <c r="D152" s="6" t="n">
        <v>0.6887808196973327</v>
      </c>
      <c r="E152" s="6" t="n">
        <v>0.0974517369432302</v>
      </c>
      <c r="F152" s="6" t="n">
        <v>0.2156772188250367</v>
      </c>
      <c r="G152" s="6" t="n">
        <v>151</v>
      </c>
      <c r="H152" s="6" t="n">
        <v>132</v>
      </c>
      <c r="I152" s="6" t="inlineStr">
        <is>
          <t>***印务有限公司</t>
        </is>
      </c>
      <c r="J152" s="6" t="b">
        <v>0</v>
      </c>
      <c r="K152" s="6" t="inlineStr">
        <is>
          <t>其他</t>
        </is>
      </c>
      <c r="L152" s="6" t="n">
        <v>0.3</v>
      </c>
      <c r="M152" s="6" t="n">
        <v>1</v>
      </c>
      <c r="N152" s="6" t="n">
        <v>0.09665008872534764</v>
      </c>
      <c r="O152" s="6" t="inlineStr">
        <is>
          <t>A</t>
        </is>
      </c>
      <c r="P152" s="6" t="n">
        <v>0</v>
      </c>
      <c r="Q152" s="6" t="n">
        <v>0.1425</v>
      </c>
      <c r="R152" s="6" t="n">
        <v>0.880180313431412</v>
      </c>
      <c r="S152" s="6" t="n">
        <v>0.005480230043420286</v>
      </c>
      <c r="T152" s="6" t="inlineStr"/>
      <c r="U152" s="6" t="n">
        <v>0</v>
      </c>
      <c r="V152" s="6" t="n">
        <v>0</v>
      </c>
      <c r="W152" s="6" t="n">
        <v>0</v>
      </c>
      <c r="X152" s="6" t="n">
        <v>0</v>
      </c>
      <c r="Y152" s="6" t="n">
        <v>0</v>
      </c>
      <c r="Z152" s="6" t="n">
        <v>0</v>
      </c>
      <c r="AA152" s="9">
        <f>P152*(1-R152)*((1-B152)*Q152-B152*'模型说明与假设'!$B$7-'模型说明与假设'!$B$8)</f>
        <v/>
      </c>
      <c r="AB152" s="6" t="b">
        <v>0</v>
      </c>
      <c r="AC152" s="6" t="n">
        <v>0.09665008872534764</v>
      </c>
      <c r="AD152" s="6" t="inlineStr">
        <is>
          <t>A</t>
        </is>
      </c>
      <c r="AE152" s="6" t="n">
        <v>0</v>
      </c>
      <c r="AF152" s="6" t="n">
        <v>0.1425</v>
      </c>
      <c r="AG152" s="6" t="n">
        <v>0.880180313431412</v>
      </c>
      <c r="AH152" s="6" t="n">
        <v>0</v>
      </c>
    </row>
    <row r="153">
      <c r="A153" s="6" t="inlineStr">
        <is>
          <t>E265</t>
        </is>
      </c>
      <c r="B153" s="6" t="n">
        <v>0.09731178251939725</v>
      </c>
      <c r="C153" s="6" t="inlineStr">
        <is>
          <t>A</t>
        </is>
      </c>
      <c r="D153" s="6" t="n">
        <v>0.7051209823363566</v>
      </c>
      <c r="E153" s="6" t="n">
        <v>0.08902711265805391</v>
      </c>
      <c r="F153" s="6" t="n">
        <v>0.2128835263674855</v>
      </c>
      <c r="G153" s="6" t="n">
        <v>152</v>
      </c>
      <c r="H153" s="6" t="n">
        <v>105</v>
      </c>
      <c r="I153" s="6" t="inlineStr">
        <is>
          <t>***净化工程有限公司</t>
        </is>
      </c>
      <c r="J153" s="6" t="b">
        <v>0</v>
      </c>
      <c r="K153" s="6" t="inlineStr">
        <is>
          <t>其他</t>
        </is>
      </c>
      <c r="L153" s="6" t="n">
        <v>0.3</v>
      </c>
      <c r="M153" s="6" t="n">
        <v>1</v>
      </c>
      <c r="N153" s="6" t="n">
        <v>0.09731178251939726</v>
      </c>
      <c r="O153" s="6" t="inlineStr">
        <is>
          <t>A</t>
        </is>
      </c>
      <c r="P153" s="6" t="n">
        <v>0</v>
      </c>
      <c r="Q153" s="6" t="n">
        <v>0.1425</v>
      </c>
      <c r="R153" s="6" t="n">
        <v>0.880180313431412</v>
      </c>
      <c r="S153" s="6" t="n">
        <v>0.005421361715737292</v>
      </c>
      <c r="T153" s="6" t="inlineStr"/>
      <c r="U153" s="6" t="n">
        <v>0</v>
      </c>
      <c r="V153" s="6" t="n">
        <v>0</v>
      </c>
      <c r="W153" s="6" t="n">
        <v>0</v>
      </c>
      <c r="X153" s="6" t="n">
        <v>0</v>
      </c>
      <c r="Y153" s="6" t="n">
        <v>0</v>
      </c>
      <c r="Z153" s="6" t="n">
        <v>0</v>
      </c>
      <c r="AA153" s="9">
        <f>P153*(1-R153)*((1-B153)*Q153-B153*'模型说明与假设'!$B$7-'模型说明与假设'!$B$8)</f>
        <v/>
      </c>
      <c r="AB153" s="6" t="b">
        <v>0</v>
      </c>
      <c r="AC153" s="6" t="n">
        <v>0.09731178251939726</v>
      </c>
      <c r="AD153" s="6" t="inlineStr">
        <is>
          <t>A</t>
        </is>
      </c>
      <c r="AE153" s="6" t="n">
        <v>0</v>
      </c>
      <c r="AF153" s="6" t="n">
        <v>0.1425</v>
      </c>
      <c r="AG153" s="6" t="n">
        <v>0.880180313431412</v>
      </c>
      <c r="AH153" s="6" t="n">
        <v>0</v>
      </c>
    </row>
    <row r="154">
      <c r="A154" s="6" t="inlineStr">
        <is>
          <t>E166</t>
        </is>
      </c>
      <c r="B154" s="6" t="n">
        <v>0.1111118713412321</v>
      </c>
      <c r="C154" s="6" t="inlineStr">
        <is>
          <t>B</t>
        </is>
      </c>
      <c r="D154" s="6" t="n">
        <v>0.6718540957220263</v>
      </c>
      <c r="E154" s="6" t="n">
        <v>0.104701657562703</v>
      </c>
      <c r="F154" s="6" t="n">
        <v>0.214368780915206</v>
      </c>
      <c r="G154" s="6" t="n">
        <v>153</v>
      </c>
      <c r="H154" s="6" t="n">
        <v>155</v>
      </c>
      <c r="I154" s="6" t="inlineStr">
        <is>
          <t>***建筑工程有限公司</t>
        </is>
      </c>
      <c r="J154" s="6" t="b">
        <v>0</v>
      </c>
      <c r="K154" s="6" t="inlineStr">
        <is>
          <t>中度负面</t>
        </is>
      </c>
      <c r="L154" s="6" t="n">
        <v>0.9</v>
      </c>
      <c r="M154" s="6" t="n">
        <v>1.15</v>
      </c>
      <c r="N154" s="6" t="n">
        <v>0.09803989634220391</v>
      </c>
      <c r="O154" s="6" t="inlineStr">
        <is>
          <t>A</t>
        </is>
      </c>
      <c r="P154" s="6" t="n">
        <v>0</v>
      </c>
      <c r="Q154" s="6" t="n">
        <v>0.1425</v>
      </c>
      <c r="R154" s="6" t="n">
        <v>0.8439092945622555</v>
      </c>
      <c r="S154" s="6" t="n">
        <v>0.005463086581665573</v>
      </c>
      <c r="T154" s="6" t="inlineStr"/>
      <c r="U154" s="6" t="n">
        <v>0</v>
      </c>
      <c r="V154" s="6" t="n">
        <v>0</v>
      </c>
      <c r="W154" s="6" t="n">
        <v>0</v>
      </c>
      <c r="X154" s="6" t="n">
        <v>0</v>
      </c>
      <c r="Y154" s="6" t="n">
        <v>0</v>
      </c>
      <c r="Z154" s="6" t="n">
        <v>0</v>
      </c>
      <c r="AA154" s="9">
        <f>P154*(1-R154)*((1-B154)*Q154-B154*'模型说明与假设'!$B$7-'模型说明与假设'!$B$8)</f>
        <v/>
      </c>
      <c r="AB154" s="6" t="b">
        <v>0</v>
      </c>
      <c r="AC154" s="6" t="n">
        <v>0.09803989634220391</v>
      </c>
      <c r="AD154" s="6" t="inlineStr">
        <is>
          <t>A</t>
        </is>
      </c>
      <c r="AE154" s="6" t="n">
        <v>0</v>
      </c>
      <c r="AF154" s="6" t="n">
        <v>0.1425</v>
      </c>
      <c r="AG154" s="6" t="n">
        <v>0.880180313431412</v>
      </c>
      <c r="AH154" s="6" t="n">
        <v>0</v>
      </c>
    </row>
    <row r="155">
      <c r="A155" s="6" t="inlineStr">
        <is>
          <t>E279</t>
        </is>
      </c>
      <c r="B155" s="6" t="n">
        <v>0.09811454891362099</v>
      </c>
      <c r="C155" s="6" t="inlineStr">
        <is>
          <t>A</t>
        </is>
      </c>
      <c r="D155" s="6" t="n">
        <v>0.6621713443769497</v>
      </c>
      <c r="E155" s="6" t="n">
        <v>0.1090451552568259</v>
      </c>
      <c r="F155" s="6" t="n">
        <v>0.2137372773219506</v>
      </c>
      <c r="G155" s="6" t="n">
        <v>154</v>
      </c>
      <c r="H155" s="6" t="n">
        <v>165</v>
      </c>
      <c r="I155" s="6" t="inlineStr">
        <is>
          <t>***环保包装有限公司</t>
        </is>
      </c>
      <c r="J155" s="6" t="b">
        <v>0</v>
      </c>
      <c r="K155" s="6" t="inlineStr">
        <is>
          <t>其他</t>
        </is>
      </c>
      <c r="L155" s="6" t="n">
        <v>0.3</v>
      </c>
      <c r="M155" s="6" t="n">
        <v>1</v>
      </c>
      <c r="N155" s="6" t="n">
        <v>0.09811454891362099</v>
      </c>
      <c r="O155" s="6" t="inlineStr">
        <is>
          <t>A</t>
        </is>
      </c>
      <c r="P155" s="6" t="n">
        <v>0</v>
      </c>
      <c r="Q155" s="6" t="n">
        <v>0.1425</v>
      </c>
      <c r="R155" s="6" t="n">
        <v>0.880180313431412</v>
      </c>
      <c r="S155" s="6" t="n">
        <v>0.005349942706562603</v>
      </c>
      <c r="T155" s="6" t="inlineStr"/>
      <c r="U155" s="6" t="n">
        <v>0</v>
      </c>
      <c r="V155" s="6" t="n">
        <v>0</v>
      </c>
      <c r="W155" s="6" t="n">
        <v>0</v>
      </c>
      <c r="X155" s="6" t="n">
        <v>0</v>
      </c>
      <c r="Y155" s="6" t="n">
        <v>0</v>
      </c>
      <c r="Z155" s="6" t="n">
        <v>0</v>
      </c>
      <c r="AA155" s="9">
        <f>P155*(1-R155)*((1-B155)*Q155-B155*'模型说明与假设'!$B$7-'模型说明与假设'!$B$8)</f>
        <v/>
      </c>
      <c r="AB155" s="6" t="b">
        <v>0</v>
      </c>
      <c r="AC155" s="6" t="n">
        <v>0.09811454891362099</v>
      </c>
      <c r="AD155" s="6" t="inlineStr">
        <is>
          <t>A</t>
        </is>
      </c>
      <c r="AE155" s="6" t="n">
        <v>0</v>
      </c>
      <c r="AF155" s="6" t="n">
        <v>0.1425</v>
      </c>
      <c r="AG155" s="6" t="n">
        <v>0.880180313431412</v>
      </c>
      <c r="AH155" s="6" t="n">
        <v>0</v>
      </c>
    </row>
    <row r="156">
      <c r="A156" s="6" t="inlineStr">
        <is>
          <t>E391</t>
        </is>
      </c>
      <c r="B156" s="6" t="n">
        <v>0.09827321937343407</v>
      </c>
      <c r="C156" s="6" t="inlineStr">
        <is>
          <t>A</t>
        </is>
      </c>
      <c r="D156" s="6" t="n">
        <v>0.6242313258748582</v>
      </c>
      <c r="E156" s="6" t="n">
        <v>0.1278046787785807</v>
      </c>
      <c r="F156" s="6" t="n">
        <v>0.2123106303970268</v>
      </c>
      <c r="G156" s="6" t="n">
        <v>155</v>
      </c>
      <c r="H156" s="6" t="n">
        <v>202</v>
      </c>
      <c r="I156" s="6" t="inlineStr">
        <is>
          <t>***五金店</t>
        </is>
      </c>
      <c r="J156" s="6" t="b">
        <v>0</v>
      </c>
      <c r="K156" s="6" t="inlineStr">
        <is>
          <t>其他</t>
        </is>
      </c>
      <c r="L156" s="6" t="n">
        <v>0.3</v>
      </c>
      <c r="M156" s="6" t="n">
        <v>1</v>
      </c>
      <c r="N156" s="6" t="n">
        <v>0.09827321937343407</v>
      </c>
      <c r="O156" s="6" t="inlineStr">
        <is>
          <t>A</t>
        </is>
      </c>
      <c r="P156" s="6" t="n">
        <v>0</v>
      </c>
      <c r="Q156" s="6" t="n">
        <v>0.1425</v>
      </c>
      <c r="R156" s="6" t="n">
        <v>0.880180313431412</v>
      </c>
      <c r="S156" s="6" t="n">
        <v>0.005335826411826451</v>
      </c>
      <c r="T156" s="6" t="inlineStr"/>
      <c r="U156" s="6" t="n">
        <v>0</v>
      </c>
      <c r="V156" s="6" t="n">
        <v>0</v>
      </c>
      <c r="W156" s="6" t="n">
        <v>0</v>
      </c>
      <c r="X156" s="6" t="n">
        <v>0</v>
      </c>
      <c r="Y156" s="6" t="n">
        <v>0</v>
      </c>
      <c r="Z156" s="6" t="n">
        <v>0</v>
      </c>
      <c r="AA156" s="9">
        <f>P156*(1-R156)*((1-B156)*Q156-B156*'模型说明与假设'!$B$7-'模型说明与假设'!$B$8)</f>
        <v/>
      </c>
      <c r="AB156" s="6" t="b">
        <v>0</v>
      </c>
      <c r="AC156" s="6" t="n">
        <v>0.09827321937343407</v>
      </c>
      <c r="AD156" s="6" t="inlineStr">
        <is>
          <t>A</t>
        </is>
      </c>
      <c r="AE156" s="6" t="n">
        <v>0</v>
      </c>
      <c r="AF156" s="6" t="n">
        <v>0.1425</v>
      </c>
      <c r="AG156" s="6" t="n">
        <v>0.880180313431412</v>
      </c>
      <c r="AH156" s="6" t="n">
        <v>0</v>
      </c>
    </row>
    <row r="157">
      <c r="A157" s="6" t="inlineStr">
        <is>
          <t>E364</t>
        </is>
      </c>
      <c r="B157" s="6" t="n">
        <v>0.08979053344214551</v>
      </c>
      <c r="C157" s="6" t="inlineStr">
        <is>
          <t>A</t>
        </is>
      </c>
      <c r="D157" s="6" t="n">
        <v>0.6455972896524241</v>
      </c>
      <c r="E157" s="6" t="n">
        <v>0.1144561870960214</v>
      </c>
      <c r="F157" s="6" t="n">
        <v>0.2084989815700704</v>
      </c>
      <c r="G157" s="6" t="n">
        <v>156</v>
      </c>
      <c r="H157" s="6" t="n">
        <v>184</v>
      </c>
      <c r="I157" s="6" t="inlineStr">
        <is>
          <t>***电子有限公司</t>
        </is>
      </c>
      <c r="J157" s="6" t="b">
        <v>0</v>
      </c>
      <c r="K157" s="6" t="inlineStr">
        <is>
          <t>正面/轻影响</t>
        </is>
      </c>
      <c r="L157" s="6" t="n">
        <v>0.9</v>
      </c>
      <c r="M157" s="6" t="n">
        <v>0.9</v>
      </c>
      <c r="N157" s="6" t="n">
        <v>0.09878174102230207</v>
      </c>
      <c r="O157" s="6" t="inlineStr">
        <is>
          <t>A</t>
        </is>
      </c>
      <c r="P157" s="6" t="n">
        <v>0</v>
      </c>
      <c r="Q157" s="6" t="n">
        <v>0.1425</v>
      </c>
      <c r="R157" s="6" t="n">
        <v>0.880180313431412</v>
      </c>
      <c r="S157" s="6" t="n">
        <v>0.006090498043214924</v>
      </c>
      <c r="T157" s="6" t="inlineStr"/>
      <c r="U157" s="6" t="n">
        <v>0</v>
      </c>
      <c r="V157" s="6" t="n">
        <v>0</v>
      </c>
      <c r="W157" s="6" t="n">
        <v>0</v>
      </c>
      <c r="X157" s="6" t="n">
        <v>0</v>
      </c>
      <c r="Y157" s="6" t="n">
        <v>0</v>
      </c>
      <c r="Z157" s="6" t="n">
        <v>0</v>
      </c>
      <c r="AA157" s="9">
        <f>P157*(1-R157)*((1-B157)*Q157-B157*'模型说明与假设'!$B$7-'模型说明与假设'!$B$8)</f>
        <v/>
      </c>
      <c r="AB157" s="6" t="b">
        <v>0</v>
      </c>
      <c r="AC157" s="6" t="n">
        <v>0.09878174102230207</v>
      </c>
      <c r="AD157" s="6" t="inlineStr">
        <is>
          <t>A</t>
        </is>
      </c>
      <c r="AE157" s="6" t="n">
        <v>0</v>
      </c>
      <c r="AF157" s="6" t="n">
        <v>0.1425</v>
      </c>
      <c r="AG157" s="6" t="n">
        <v>0.880180313431412</v>
      </c>
      <c r="AH157" s="6" t="n">
        <v>0</v>
      </c>
    </row>
    <row r="158">
      <c r="A158" s="6" t="inlineStr">
        <is>
          <t>E292</t>
        </is>
      </c>
      <c r="B158" s="6" t="n">
        <v>0.1124180310718159</v>
      </c>
      <c r="C158" s="6" t="inlineStr">
        <is>
          <t>B</t>
        </is>
      </c>
      <c r="D158" s="6" t="n">
        <v>0.697788737960824</v>
      </c>
      <c r="E158" s="6" t="n">
        <v>0.09375108972744836</v>
      </c>
      <c r="F158" s="6" t="n">
        <v>0.2164659719891176</v>
      </c>
      <c r="G158" s="6" t="n">
        <v>157</v>
      </c>
      <c r="H158" s="6" t="n">
        <v>116</v>
      </c>
      <c r="I158" s="6" t="inlineStr">
        <is>
          <t>***物流有限公司</t>
        </is>
      </c>
      <c r="J158" s="6" t="b">
        <v>0</v>
      </c>
      <c r="K158" s="6" t="inlineStr">
        <is>
          <t>中度负面</t>
        </is>
      </c>
      <c r="L158" s="6" t="n">
        <v>0.9</v>
      </c>
      <c r="M158" s="6" t="n">
        <v>1.15</v>
      </c>
      <c r="N158" s="6" t="n">
        <v>0.09920954109816084</v>
      </c>
      <c r="O158" s="6" t="inlineStr">
        <is>
          <t>A</t>
        </is>
      </c>
      <c r="P158" s="6" t="n">
        <v>0</v>
      </c>
      <c r="Q158" s="6" t="n">
        <v>0.1425</v>
      </c>
      <c r="R158" s="6" t="n">
        <v>0.8439092945622555</v>
      </c>
      <c r="S158" s="6" t="n">
        <v>0.005311706131797872</v>
      </c>
      <c r="T158" s="6" t="inlineStr"/>
      <c r="U158" s="6" t="n">
        <v>0</v>
      </c>
      <c r="V158" s="6" t="n">
        <v>0</v>
      </c>
      <c r="W158" s="6" t="n">
        <v>0</v>
      </c>
      <c r="X158" s="6" t="n">
        <v>0</v>
      </c>
      <c r="Y158" s="6" t="n">
        <v>0</v>
      </c>
      <c r="Z158" s="6" t="n">
        <v>0</v>
      </c>
      <c r="AA158" s="9">
        <f>P158*(1-R158)*((1-B158)*Q158-B158*'模型说明与假设'!$B$7-'模型说明与假设'!$B$8)</f>
        <v/>
      </c>
      <c r="AB158" s="6" t="b">
        <v>0</v>
      </c>
      <c r="AC158" s="6" t="n">
        <v>0.09920954109816084</v>
      </c>
      <c r="AD158" s="6" t="inlineStr">
        <is>
          <t>A</t>
        </is>
      </c>
      <c r="AE158" s="6" t="n">
        <v>0</v>
      </c>
      <c r="AF158" s="6" t="n">
        <v>0.1425</v>
      </c>
      <c r="AG158" s="6" t="n">
        <v>0.880180313431412</v>
      </c>
      <c r="AH158" s="6" t="n">
        <v>0</v>
      </c>
    </row>
    <row r="159">
      <c r="A159" s="6" t="inlineStr">
        <is>
          <t>E199</t>
        </is>
      </c>
      <c r="B159" s="6" t="n">
        <v>0.1135692531988077</v>
      </c>
      <c r="C159" s="6" t="inlineStr">
        <is>
          <t>B</t>
        </is>
      </c>
      <c r="D159" s="6" t="n">
        <v>0.6763229408362659</v>
      </c>
      <c r="E159" s="6" t="n">
        <v>0.1050703979765089</v>
      </c>
      <c r="F159" s="6" t="n">
        <v>0.2195445075344757</v>
      </c>
      <c r="G159" s="6" t="n">
        <v>158</v>
      </c>
      <c r="H159" s="6" t="n">
        <v>152</v>
      </c>
      <c r="I159" s="6" t="inlineStr">
        <is>
          <t>***建筑劳务有限公司</t>
        </is>
      </c>
      <c r="J159" s="6" t="b">
        <v>0</v>
      </c>
      <c r="K159" s="6" t="inlineStr">
        <is>
          <t>中度负面</t>
        </is>
      </c>
      <c r="L159" s="6" t="n">
        <v>0.9</v>
      </c>
      <c r="M159" s="6" t="n">
        <v>1.15</v>
      </c>
      <c r="N159" s="6" t="n">
        <v>0.100240777155699</v>
      </c>
      <c r="O159" s="6" t="inlineStr">
        <is>
          <t>B</t>
        </is>
      </c>
      <c r="P159" s="6" t="n">
        <v>0</v>
      </c>
      <c r="Q159" s="6" t="n">
        <v>0.1425</v>
      </c>
      <c r="R159" s="6" t="n">
        <v>0.8439092945622555</v>
      </c>
      <c r="S159" s="6" t="n">
        <v>0.005178282539413989</v>
      </c>
      <c r="T159" s="6" t="inlineStr"/>
      <c r="U159" s="6" t="n">
        <v>0</v>
      </c>
      <c r="V159" s="6" t="n">
        <v>0</v>
      </c>
      <c r="W159" s="6" t="n">
        <v>0</v>
      </c>
      <c r="X159" s="6" t="n">
        <v>0</v>
      </c>
      <c r="Y159" s="6" t="n">
        <v>0</v>
      </c>
      <c r="Z159" s="6" t="n">
        <v>0</v>
      </c>
      <c r="AA159" s="9">
        <f>P159*(1-R159)*((1-B159)*Q159-B159*'模型说明与假设'!$B$7-'模型说明与假设'!$B$8)</f>
        <v/>
      </c>
      <c r="AB159" s="6" t="b">
        <v>0</v>
      </c>
      <c r="AC159" s="6" t="n">
        <v>0.100240777155699</v>
      </c>
      <c r="AD159" s="6" t="inlineStr">
        <is>
          <t>B</t>
        </is>
      </c>
      <c r="AE159" s="6" t="n">
        <v>0</v>
      </c>
      <c r="AF159" s="6" t="n">
        <v>0.1425</v>
      </c>
      <c r="AG159" s="6" t="n">
        <v>0.8439092945622555</v>
      </c>
      <c r="AH159" s="6" t="n">
        <v>0</v>
      </c>
    </row>
    <row r="160">
      <c r="A160" s="6" t="inlineStr">
        <is>
          <t>E372</t>
        </is>
      </c>
      <c r="B160" s="6" t="n">
        <v>0.1148438466742676</v>
      </c>
      <c r="C160" s="6" t="inlineStr">
        <is>
          <t>B</t>
        </is>
      </c>
      <c r="D160" s="6" t="n">
        <v>0.666958267486683</v>
      </c>
      <c r="E160" s="6" t="n">
        <v>0.1076278424436312</v>
      </c>
      <c r="F160" s="6" t="n">
        <v>0.2155383915037243</v>
      </c>
      <c r="G160" s="6" t="n">
        <v>159</v>
      </c>
      <c r="H160" s="6" t="n">
        <v>161</v>
      </c>
      <c r="I160" s="6" t="inlineStr">
        <is>
          <t>***汽车维修有限责任公司</t>
        </is>
      </c>
      <c r="J160" s="6" t="b">
        <v>0</v>
      </c>
      <c r="K160" s="6" t="inlineStr">
        <is>
          <t>中度负面</t>
        </is>
      </c>
      <c r="L160" s="6" t="n">
        <v>0.9</v>
      </c>
      <c r="M160" s="6" t="n">
        <v>1.15</v>
      </c>
      <c r="N160" s="6" t="n">
        <v>0.1013828929444995</v>
      </c>
      <c r="O160" s="6" t="inlineStr">
        <is>
          <t>B</t>
        </is>
      </c>
      <c r="P160" s="6" t="n">
        <v>0</v>
      </c>
      <c r="Q160" s="6" t="n">
        <v>0.1425</v>
      </c>
      <c r="R160" s="6" t="n">
        <v>0.8439092945622555</v>
      </c>
      <c r="S160" s="6" t="n">
        <v>0.005030560534826306</v>
      </c>
      <c r="T160" s="6" t="inlineStr"/>
      <c r="U160" s="6" t="n">
        <v>0</v>
      </c>
      <c r="V160" s="6" t="n">
        <v>0</v>
      </c>
      <c r="W160" s="6" t="n">
        <v>0</v>
      </c>
      <c r="X160" s="6" t="n">
        <v>0</v>
      </c>
      <c r="Y160" s="6" t="n">
        <v>0</v>
      </c>
      <c r="Z160" s="6" t="n">
        <v>0</v>
      </c>
      <c r="AA160" s="9">
        <f>P160*(1-R160)*((1-B160)*Q160-B160*'模型说明与假设'!$B$7-'模型说明与假设'!$B$8)</f>
        <v/>
      </c>
      <c r="AB160" s="6" t="b">
        <v>0</v>
      </c>
      <c r="AC160" s="6" t="n">
        <v>0.1013828929444995</v>
      </c>
      <c r="AD160" s="6" t="inlineStr">
        <is>
          <t>B</t>
        </is>
      </c>
      <c r="AE160" s="6" t="n">
        <v>0</v>
      </c>
      <c r="AF160" s="6" t="n">
        <v>0.1425</v>
      </c>
      <c r="AG160" s="6" t="n">
        <v>0.8439092945622555</v>
      </c>
      <c r="AH160" s="6" t="n">
        <v>0</v>
      </c>
    </row>
    <row r="161">
      <c r="A161" s="6" t="inlineStr">
        <is>
          <t>E328</t>
        </is>
      </c>
      <c r="B161" s="6" t="n">
        <v>0.09267976205951692</v>
      </c>
      <c r="C161" s="6" t="inlineStr">
        <is>
          <t>A</t>
        </is>
      </c>
      <c r="D161" s="6" t="n">
        <v>0.7115928459058473</v>
      </c>
      <c r="E161" s="6" t="n">
        <v>0.08801817644001897</v>
      </c>
      <c r="F161" s="6" t="n">
        <v>0.2171690395861298</v>
      </c>
      <c r="G161" s="6" t="n">
        <v>160</v>
      </c>
      <c r="H161" s="6" t="n">
        <v>97</v>
      </c>
      <c r="I161" s="6" t="inlineStr">
        <is>
          <t>***科技有限公司</t>
        </is>
      </c>
      <c r="J161" s="6" t="b">
        <v>0</v>
      </c>
      <c r="K161" s="6" t="inlineStr">
        <is>
          <t>正面/轻影响</t>
        </is>
      </c>
      <c r="L161" s="6" t="n">
        <v>0.9</v>
      </c>
      <c r="M161" s="6" t="n">
        <v>0.9</v>
      </c>
      <c r="N161" s="6" t="n">
        <v>0.1019278853812011</v>
      </c>
      <c r="O161" s="6" t="inlineStr">
        <is>
          <t>B</t>
        </is>
      </c>
      <c r="P161" s="6" t="n">
        <v>0</v>
      </c>
      <c r="Q161" s="6" t="n">
        <v>0.1425</v>
      </c>
      <c r="R161" s="6" t="n">
        <v>0.880180313431412</v>
      </c>
      <c r="S161" s="6" t="n">
        <v>0.005833454591201285</v>
      </c>
      <c r="T161" s="6" t="inlineStr"/>
      <c r="U161" s="6" t="n">
        <v>0</v>
      </c>
      <c r="V161" s="6" t="n">
        <v>0</v>
      </c>
      <c r="W161" s="6" t="n">
        <v>0</v>
      </c>
      <c r="X161" s="6" t="n">
        <v>0</v>
      </c>
      <c r="Y161" s="6" t="n">
        <v>0</v>
      </c>
      <c r="Z161" s="6" t="n">
        <v>0</v>
      </c>
      <c r="AA161" s="9">
        <f>P161*(1-R161)*((1-B161)*Q161-B161*'模型说明与假设'!$B$7-'模型说明与假设'!$B$8)</f>
        <v/>
      </c>
      <c r="AB161" s="6" t="b">
        <v>0</v>
      </c>
      <c r="AC161" s="6" t="n">
        <v>0.1019278853812011</v>
      </c>
      <c r="AD161" s="6" t="inlineStr">
        <is>
          <t>B</t>
        </is>
      </c>
      <c r="AE161" s="6" t="n">
        <v>0</v>
      </c>
      <c r="AF161" s="6" t="n">
        <v>0.1425</v>
      </c>
      <c r="AG161" s="6" t="n">
        <v>0.8439092945622555</v>
      </c>
      <c r="AH161" s="6" t="n">
        <v>0</v>
      </c>
    </row>
    <row r="162">
      <c r="A162" s="6" t="inlineStr">
        <is>
          <t>E281</t>
        </is>
      </c>
      <c r="B162" s="6" t="n">
        <v>0.1034118615928119</v>
      </c>
      <c r="C162" s="6" t="inlineStr">
        <is>
          <t>B</t>
        </is>
      </c>
      <c r="D162" s="6" t="n">
        <v>0.5584096913876592</v>
      </c>
      <c r="E162" s="6" t="n">
        <v>0.1482553490040815</v>
      </c>
      <c r="F162" s="6" t="n">
        <v>0.1874751824696754</v>
      </c>
      <c r="G162" s="6" t="n">
        <v>161</v>
      </c>
      <c r="H162" s="6" t="n">
        <v>256</v>
      </c>
      <c r="I162" s="6" t="inlineStr">
        <is>
          <t>***商业管理有限责任公司</t>
        </is>
      </c>
      <c r="J162" s="6" t="b">
        <v>0</v>
      </c>
      <c r="K162" s="6" t="inlineStr">
        <is>
          <t>其他</t>
        </is>
      </c>
      <c r="L162" s="6" t="n">
        <v>0.3</v>
      </c>
      <c r="M162" s="6" t="n">
        <v>1</v>
      </c>
      <c r="N162" s="6" t="n">
        <v>0.1034118615928119</v>
      </c>
      <c r="O162" s="6" t="inlineStr">
        <is>
          <t>B</t>
        </is>
      </c>
      <c r="P162" s="6" t="n">
        <v>0</v>
      </c>
      <c r="Q162" s="6" t="n">
        <v>0.1425</v>
      </c>
      <c r="R162" s="6" t="n">
        <v>0.8439092945622555</v>
      </c>
      <c r="S162" s="6" t="n">
        <v>0.006355497297145564</v>
      </c>
      <c r="T162" s="6" t="inlineStr"/>
      <c r="U162" s="6" t="n">
        <v>0</v>
      </c>
      <c r="V162" s="6" t="n">
        <v>0</v>
      </c>
      <c r="W162" s="6" t="n">
        <v>0</v>
      </c>
      <c r="X162" s="6" t="n">
        <v>0</v>
      </c>
      <c r="Y162" s="6" t="n">
        <v>0</v>
      </c>
      <c r="Z162" s="6" t="n">
        <v>0</v>
      </c>
      <c r="AA162" s="9">
        <f>P162*(1-R162)*((1-B162)*Q162-B162*'模型说明与假设'!$B$7-'模型说明与假设'!$B$8)</f>
        <v/>
      </c>
      <c r="AB162" s="6" t="b">
        <v>0</v>
      </c>
      <c r="AC162" s="6" t="n">
        <v>0.1034118615928119</v>
      </c>
      <c r="AD162" s="6" t="inlineStr">
        <is>
          <t>B</t>
        </is>
      </c>
      <c r="AE162" s="6" t="n">
        <v>0</v>
      </c>
      <c r="AF162" s="6" t="n">
        <v>0.1425</v>
      </c>
      <c r="AG162" s="6" t="n">
        <v>0.8439092945622555</v>
      </c>
      <c r="AH162" s="6" t="n">
        <v>0</v>
      </c>
    </row>
    <row r="163">
      <c r="A163" s="6" t="inlineStr">
        <is>
          <t>E370</t>
        </is>
      </c>
      <c r="B163" s="6" t="n">
        <v>0.1039986128194368</v>
      </c>
      <c r="C163" s="6" t="inlineStr">
        <is>
          <t>B</t>
        </is>
      </c>
      <c r="D163" s="6" t="n">
        <v>0.6177248610515309</v>
      </c>
      <c r="E163" s="6" t="n">
        <v>0.1288895075781636</v>
      </c>
      <c r="F163" s="6" t="n">
        <v>0.2082747347335447</v>
      </c>
      <c r="G163" s="6" t="n">
        <v>162</v>
      </c>
      <c r="H163" s="6" t="n">
        <v>208</v>
      </c>
      <c r="I163" s="6" t="inlineStr">
        <is>
          <t>***设计服务部</t>
        </is>
      </c>
      <c r="J163" s="6" t="b">
        <v>0</v>
      </c>
      <c r="K163" s="6" t="inlineStr">
        <is>
          <t>其他</t>
        </is>
      </c>
      <c r="L163" s="6" t="n">
        <v>0.3</v>
      </c>
      <c r="M163" s="6" t="n">
        <v>1</v>
      </c>
      <c r="N163" s="6" t="n">
        <v>0.1039986128194368</v>
      </c>
      <c r="O163" s="6" t="inlineStr">
        <is>
          <t>B</t>
        </is>
      </c>
      <c r="P163" s="6" t="n">
        <v>0</v>
      </c>
      <c r="Q163" s="6" t="n">
        <v>0.1425</v>
      </c>
      <c r="R163" s="6" t="n">
        <v>0.8439092945622555</v>
      </c>
      <c r="S163" s="6" t="n">
        <v>0.006287494385581909</v>
      </c>
      <c r="T163" s="6" t="inlineStr"/>
      <c r="U163" s="6" t="n">
        <v>0</v>
      </c>
      <c r="V163" s="6" t="n">
        <v>0</v>
      </c>
      <c r="W163" s="6" t="n">
        <v>0</v>
      </c>
      <c r="X163" s="6" t="n">
        <v>0</v>
      </c>
      <c r="Y163" s="6" t="n">
        <v>0</v>
      </c>
      <c r="Z163" s="6" t="n">
        <v>0</v>
      </c>
      <c r="AA163" s="9">
        <f>P163*(1-R163)*((1-B163)*Q163-B163*'模型说明与假设'!$B$7-'模型说明与假设'!$B$8)</f>
        <v/>
      </c>
      <c r="AB163" s="6" t="b">
        <v>0</v>
      </c>
      <c r="AC163" s="6" t="n">
        <v>0.1039986128194368</v>
      </c>
      <c r="AD163" s="6" t="inlineStr">
        <is>
          <t>B</t>
        </is>
      </c>
      <c r="AE163" s="6" t="n">
        <v>0</v>
      </c>
      <c r="AF163" s="6" t="n">
        <v>0.1425</v>
      </c>
      <c r="AG163" s="6" t="n">
        <v>0.8439092945622555</v>
      </c>
      <c r="AH163" s="6" t="n">
        <v>0</v>
      </c>
    </row>
    <row r="164">
      <c r="A164" s="6" t="inlineStr">
        <is>
          <t>E244</t>
        </is>
      </c>
      <c r="B164" s="6" t="n">
        <v>0.1052108908451778</v>
      </c>
      <c r="C164" s="6" t="inlineStr">
        <is>
          <t>B</t>
        </is>
      </c>
      <c r="D164" s="6" t="n">
        <v>0.6909231420617113</v>
      </c>
      <c r="E164" s="6" t="n">
        <v>0.09775772138223134</v>
      </c>
      <c r="F164" s="6" t="n">
        <v>0.2185316379516532</v>
      </c>
      <c r="G164" s="6" t="n">
        <v>163</v>
      </c>
      <c r="H164" s="6" t="n">
        <v>128</v>
      </c>
      <c r="I164" s="6" t="inlineStr">
        <is>
          <t xml:space="preserve">个体经营E244 </t>
        </is>
      </c>
      <c r="J164" s="6" t="b">
        <v>0</v>
      </c>
      <c r="K164" s="6" t="inlineStr">
        <is>
          <t>未知</t>
        </is>
      </c>
      <c r="L164" s="6" t="n">
        <v>0</v>
      </c>
      <c r="M164" s="6" t="n">
        <v>1</v>
      </c>
      <c r="N164" s="6" t="n">
        <v>0.1052108908451778</v>
      </c>
      <c r="O164" s="6" t="inlineStr">
        <is>
          <t>B</t>
        </is>
      </c>
      <c r="P164" s="6" t="n">
        <v>0</v>
      </c>
      <c r="Q164" s="6" t="n">
        <v>0.1425</v>
      </c>
      <c r="R164" s="6" t="n">
        <v>0.8439092945622555</v>
      </c>
      <c r="S164" s="6" t="n">
        <v>0.006146994576405151</v>
      </c>
      <c r="T164" s="6" t="inlineStr"/>
      <c r="U164" s="6" t="n">
        <v>0</v>
      </c>
      <c r="V164" s="6" t="n">
        <v>0</v>
      </c>
      <c r="W164" s="6" t="n">
        <v>0</v>
      </c>
      <c r="X164" s="6" t="n">
        <v>0</v>
      </c>
      <c r="Y164" s="6" t="n">
        <v>0</v>
      </c>
      <c r="Z164" s="6" t="n">
        <v>0</v>
      </c>
      <c r="AA164" s="9">
        <f>P164*(1-R164)*((1-B164)*Q164-B164*'模型说明与假设'!$B$7-'模型说明与假设'!$B$8)</f>
        <v/>
      </c>
      <c r="AB164" s="6" t="b">
        <v>0</v>
      </c>
      <c r="AC164" s="6" t="n">
        <v>0.1052108908451778</v>
      </c>
      <c r="AD164" s="6" t="inlineStr">
        <is>
          <t>B</t>
        </is>
      </c>
      <c r="AE164" s="6" t="n">
        <v>0</v>
      </c>
      <c r="AF164" s="6" t="n">
        <v>0.1425</v>
      </c>
      <c r="AG164" s="6" t="n">
        <v>0.8439092945622555</v>
      </c>
      <c r="AH164" s="6" t="n">
        <v>0</v>
      </c>
    </row>
    <row r="165">
      <c r="A165" s="6" t="inlineStr">
        <is>
          <t>E203</t>
        </is>
      </c>
      <c r="B165" s="6" t="n">
        <v>0.1201191733212508</v>
      </c>
      <c r="C165" s="6" t="inlineStr">
        <is>
          <t>B</t>
        </is>
      </c>
      <c r="D165" s="6" t="n">
        <v>0.7104630432956722</v>
      </c>
      <c r="E165" s="6" t="n">
        <v>0.08902963725616066</v>
      </c>
      <c r="F165" s="6" t="n">
        <v>0.2184600810497371</v>
      </c>
      <c r="G165" s="6" t="n">
        <v>164</v>
      </c>
      <c r="H165" s="6" t="n">
        <v>99</v>
      </c>
      <c r="I165" s="6" t="inlineStr">
        <is>
          <t>***建设工程有限公司</t>
        </is>
      </c>
      <c r="J165" s="6" t="b">
        <v>0</v>
      </c>
      <c r="K165" s="6" t="inlineStr">
        <is>
          <t>中度负面</t>
        </is>
      </c>
      <c r="L165" s="6" t="n">
        <v>0.9</v>
      </c>
      <c r="M165" s="6" t="n">
        <v>1.15</v>
      </c>
      <c r="N165" s="6" t="n">
        <v>0.1061140196247997</v>
      </c>
      <c r="O165" s="6" t="inlineStr">
        <is>
          <t>B</t>
        </is>
      </c>
      <c r="P165" s="6" t="n">
        <v>0</v>
      </c>
      <c r="Q165" s="6" t="n">
        <v>0.1425</v>
      </c>
      <c r="R165" s="6" t="n">
        <v>0.8439092945622555</v>
      </c>
      <c r="S165" s="6" t="n">
        <v>0.004419164162452772</v>
      </c>
      <c r="T165" s="6" t="inlineStr"/>
      <c r="U165" s="6" t="n">
        <v>0</v>
      </c>
      <c r="V165" s="6" t="n">
        <v>0</v>
      </c>
      <c r="W165" s="6" t="n">
        <v>0</v>
      </c>
      <c r="X165" s="6" t="n">
        <v>0</v>
      </c>
      <c r="Y165" s="6" t="n">
        <v>0</v>
      </c>
      <c r="Z165" s="6" t="n">
        <v>0</v>
      </c>
      <c r="AA165" s="9">
        <f>P165*(1-R165)*((1-B165)*Q165-B165*'模型说明与假设'!$B$7-'模型说明与假设'!$B$8)</f>
        <v/>
      </c>
      <c r="AB165" s="6" t="b">
        <v>0</v>
      </c>
      <c r="AC165" s="6" t="n">
        <v>0.1061140196247997</v>
      </c>
      <c r="AD165" s="6" t="inlineStr">
        <is>
          <t>B</t>
        </is>
      </c>
      <c r="AE165" s="6" t="n">
        <v>0</v>
      </c>
      <c r="AF165" s="6" t="n">
        <v>0.1425</v>
      </c>
      <c r="AG165" s="6" t="n">
        <v>0.8439092945622555</v>
      </c>
      <c r="AH165" s="6" t="n">
        <v>0</v>
      </c>
    </row>
    <row r="166">
      <c r="A166" s="6" t="inlineStr">
        <is>
          <t>E322</t>
        </is>
      </c>
      <c r="B166" s="6" t="n">
        <v>0.1209145261096514</v>
      </c>
      <c r="C166" s="6" t="inlineStr">
        <is>
          <t>B</t>
        </is>
      </c>
      <c r="D166" s="6" t="n">
        <v>0.6818790815618381</v>
      </c>
      <c r="E166" s="6" t="n">
        <v>0.0978045152681844</v>
      </c>
      <c r="F166" s="6" t="n">
        <v>0.209639948768833</v>
      </c>
      <c r="G166" s="6" t="n">
        <v>165</v>
      </c>
      <c r="H166" s="6" t="n">
        <v>145</v>
      </c>
      <c r="I166" s="6" t="inlineStr">
        <is>
          <t>***装饰工程设计有限公司</t>
        </is>
      </c>
      <c r="J166" s="6" t="b">
        <v>0</v>
      </c>
      <c r="K166" s="6" t="inlineStr">
        <is>
          <t>中度负面</t>
        </is>
      </c>
      <c r="L166" s="6" t="n">
        <v>0.9</v>
      </c>
      <c r="M166" s="6" t="n">
        <v>1.15</v>
      </c>
      <c r="N166" s="6" t="n">
        <v>0.1068278980962532</v>
      </c>
      <c r="O166" s="6" t="inlineStr">
        <is>
          <t>B</t>
        </is>
      </c>
      <c r="P166" s="6" t="n">
        <v>0</v>
      </c>
      <c r="Q166" s="6" t="n">
        <v>0.1425</v>
      </c>
      <c r="R166" s="6" t="n">
        <v>0.8439092945622555</v>
      </c>
      <c r="S166" s="6" t="n">
        <v>0.004326984882926373</v>
      </c>
      <c r="T166" s="6" t="inlineStr"/>
      <c r="U166" s="6" t="n">
        <v>0</v>
      </c>
      <c r="V166" s="6" t="n">
        <v>0</v>
      </c>
      <c r="W166" s="6" t="n">
        <v>0</v>
      </c>
      <c r="X166" s="6" t="n">
        <v>0</v>
      </c>
      <c r="Y166" s="6" t="n">
        <v>0</v>
      </c>
      <c r="Z166" s="6" t="n">
        <v>0</v>
      </c>
      <c r="AA166" s="9">
        <f>P166*(1-R166)*((1-B166)*Q166-B166*'模型说明与假设'!$B$7-'模型说明与假设'!$B$8)</f>
        <v/>
      </c>
      <c r="AB166" s="6" t="b">
        <v>0</v>
      </c>
      <c r="AC166" s="6" t="n">
        <v>0.1068278980962532</v>
      </c>
      <c r="AD166" s="6" t="inlineStr">
        <is>
          <t>B</t>
        </is>
      </c>
      <c r="AE166" s="6" t="n">
        <v>0</v>
      </c>
      <c r="AF166" s="6" t="n">
        <v>0.1425</v>
      </c>
      <c r="AG166" s="6" t="n">
        <v>0.8439092945622555</v>
      </c>
      <c r="AH166" s="6" t="n">
        <v>0</v>
      </c>
    </row>
    <row r="167">
      <c r="A167" s="6" t="inlineStr">
        <is>
          <t>E247</t>
        </is>
      </c>
      <c r="B167" s="6" t="n">
        <v>0.107024228170221</v>
      </c>
      <c r="C167" s="6" t="inlineStr">
        <is>
          <t>B</t>
        </is>
      </c>
      <c r="D167" s="6" t="n">
        <v>0.7002557475849602</v>
      </c>
      <c r="E167" s="6" t="n">
        <v>0.09383791634397931</v>
      </c>
      <c r="F167" s="6" t="n">
        <v>0.2192220192108383</v>
      </c>
      <c r="G167" s="6" t="n">
        <v>166</v>
      </c>
      <c r="H167" s="6" t="n">
        <v>113</v>
      </c>
      <c r="I167" s="6" t="inlineStr">
        <is>
          <t>***石化有限公司</t>
        </is>
      </c>
      <c r="J167" s="6" t="b">
        <v>0</v>
      </c>
      <c r="K167" s="6" t="inlineStr">
        <is>
          <t>其他</t>
        </is>
      </c>
      <c r="L167" s="6" t="n">
        <v>0.3</v>
      </c>
      <c r="M167" s="6" t="n">
        <v>1</v>
      </c>
      <c r="N167" s="6" t="n">
        <v>0.107024228170221</v>
      </c>
      <c r="O167" s="6" t="inlineStr">
        <is>
          <t>B</t>
        </is>
      </c>
      <c r="P167" s="6" t="n">
        <v>0</v>
      </c>
      <c r="Q167" s="6" t="n">
        <v>0.1425</v>
      </c>
      <c r="R167" s="6" t="n">
        <v>0.8439092945622555</v>
      </c>
      <c r="S167" s="6" t="n">
        <v>0.005936833587975178</v>
      </c>
      <c r="T167" s="6" t="inlineStr"/>
      <c r="U167" s="6" t="n">
        <v>0</v>
      </c>
      <c r="V167" s="6" t="n">
        <v>0</v>
      </c>
      <c r="W167" s="6" t="n">
        <v>0</v>
      </c>
      <c r="X167" s="6" t="n">
        <v>0</v>
      </c>
      <c r="Y167" s="6" t="n">
        <v>0</v>
      </c>
      <c r="Z167" s="6" t="n">
        <v>0</v>
      </c>
      <c r="AA167" s="9">
        <f>P167*(1-R167)*((1-B167)*Q167-B167*'模型说明与假设'!$B$7-'模型说明与假设'!$B$8)</f>
        <v/>
      </c>
      <c r="AB167" s="6" t="b">
        <v>0</v>
      </c>
      <c r="AC167" s="6" t="n">
        <v>0.107024228170221</v>
      </c>
      <c r="AD167" s="6" t="inlineStr">
        <is>
          <t>B</t>
        </is>
      </c>
      <c r="AE167" s="6" t="n">
        <v>0</v>
      </c>
      <c r="AF167" s="6" t="n">
        <v>0.1425</v>
      </c>
      <c r="AG167" s="6" t="n">
        <v>0.8439092945622555</v>
      </c>
      <c r="AH167" s="6" t="n">
        <v>0</v>
      </c>
    </row>
    <row r="168">
      <c r="A168" s="6" t="inlineStr">
        <is>
          <t>E305</t>
        </is>
      </c>
      <c r="B168" s="6" t="n">
        <v>0.1070499589233619</v>
      </c>
      <c r="C168" s="6" t="inlineStr">
        <is>
          <t>B</t>
        </is>
      </c>
      <c r="D168" s="6" t="n">
        <v>0.6473580933102445</v>
      </c>
      <c r="E168" s="6" t="n">
        <v>0.115622999698419</v>
      </c>
      <c r="F168" s="6" t="n">
        <v>0.212253516124021</v>
      </c>
      <c r="G168" s="6" t="n">
        <v>167</v>
      </c>
      <c r="H168" s="6" t="n">
        <v>181</v>
      </c>
      <c r="I168" s="6" t="inlineStr">
        <is>
          <t>***劳务有限公司</t>
        </is>
      </c>
      <c r="J168" s="6" t="b">
        <v>0</v>
      </c>
      <c r="K168" s="6" t="inlineStr">
        <is>
          <t>其他</t>
        </is>
      </c>
      <c r="L168" s="6" t="n">
        <v>0.3</v>
      </c>
      <c r="M168" s="6" t="n">
        <v>1</v>
      </c>
      <c r="N168" s="6" t="n">
        <v>0.107049958923362</v>
      </c>
      <c r="O168" s="6" t="inlineStr">
        <is>
          <t>B</t>
        </is>
      </c>
      <c r="P168" s="6" t="n">
        <v>0</v>
      </c>
      <c r="Q168" s="6" t="n">
        <v>0.1425</v>
      </c>
      <c r="R168" s="6" t="n">
        <v>0.8439092945622555</v>
      </c>
      <c r="S168" s="6" t="n">
        <v>0.005933851461903843</v>
      </c>
      <c r="T168" s="6" t="inlineStr"/>
      <c r="U168" s="6" t="n">
        <v>0</v>
      </c>
      <c r="V168" s="6" t="n">
        <v>0</v>
      </c>
      <c r="W168" s="6" t="n">
        <v>0</v>
      </c>
      <c r="X168" s="6" t="n">
        <v>0</v>
      </c>
      <c r="Y168" s="6" t="n">
        <v>0</v>
      </c>
      <c r="Z168" s="6" t="n">
        <v>0</v>
      </c>
      <c r="AA168" s="9">
        <f>P168*(1-R168)*((1-B168)*Q168-B168*'模型说明与假设'!$B$7-'模型说明与假设'!$B$8)</f>
        <v/>
      </c>
      <c r="AB168" s="6" t="b">
        <v>0</v>
      </c>
      <c r="AC168" s="6" t="n">
        <v>0.107049958923362</v>
      </c>
      <c r="AD168" s="6" t="inlineStr">
        <is>
          <t>B</t>
        </is>
      </c>
      <c r="AE168" s="6" t="n">
        <v>0</v>
      </c>
      <c r="AF168" s="6" t="n">
        <v>0.1425</v>
      </c>
      <c r="AG168" s="6" t="n">
        <v>0.8439092945622555</v>
      </c>
      <c r="AH168" s="6" t="n">
        <v>0</v>
      </c>
    </row>
    <row r="169">
      <c r="A169" s="6" t="inlineStr">
        <is>
          <t>E274</t>
        </is>
      </c>
      <c r="B169" s="6" t="n">
        <v>0.1218910922968437</v>
      </c>
      <c r="C169" s="6" t="inlineStr">
        <is>
          <t>B</t>
        </is>
      </c>
      <c r="D169" s="6" t="n">
        <v>0.672780634906239</v>
      </c>
      <c r="E169" s="6" t="n">
        <v>0.1037372295582863</v>
      </c>
      <c r="F169" s="6" t="n">
        <v>0.2132893300665133</v>
      </c>
      <c r="G169" s="6" t="n">
        <v>168</v>
      </c>
      <c r="H169" s="6" t="n">
        <v>154</v>
      </c>
      <c r="I169" s="6" t="inlineStr">
        <is>
          <t>***建筑劳务有限公司</t>
        </is>
      </c>
      <c r="J169" s="6" t="b">
        <v>0</v>
      </c>
      <c r="K169" s="6" t="inlineStr">
        <is>
          <t>中度负面</t>
        </is>
      </c>
      <c r="L169" s="6" t="n">
        <v>0.9</v>
      </c>
      <c r="M169" s="6" t="n">
        <v>1.15</v>
      </c>
      <c r="N169" s="6" t="n">
        <v>0.1077046326917194</v>
      </c>
      <c r="O169" s="6" t="inlineStr">
        <is>
          <t>B</t>
        </is>
      </c>
      <c r="P169" s="6" t="n">
        <v>0</v>
      </c>
      <c r="Q169" s="6" t="n">
        <v>0.1425</v>
      </c>
      <c r="R169" s="6" t="n">
        <v>0.8439092945622555</v>
      </c>
      <c r="S169" s="6" t="n">
        <v>0.004213803450915244</v>
      </c>
      <c r="T169" s="6" t="inlineStr"/>
      <c r="U169" s="6" t="n">
        <v>0</v>
      </c>
      <c r="V169" s="6" t="n">
        <v>0</v>
      </c>
      <c r="W169" s="6" t="n">
        <v>0</v>
      </c>
      <c r="X169" s="6" t="n">
        <v>0</v>
      </c>
      <c r="Y169" s="6" t="n">
        <v>0</v>
      </c>
      <c r="Z169" s="6" t="n">
        <v>0</v>
      </c>
      <c r="AA169" s="9">
        <f>P169*(1-R169)*((1-B169)*Q169-B169*'模型说明与假设'!$B$7-'模型说明与假设'!$B$8)</f>
        <v/>
      </c>
      <c r="AB169" s="6" t="b">
        <v>0</v>
      </c>
      <c r="AC169" s="6" t="n">
        <v>0.1077046326917194</v>
      </c>
      <c r="AD169" s="6" t="inlineStr">
        <is>
          <t>B</t>
        </is>
      </c>
      <c r="AE169" s="6" t="n">
        <v>0</v>
      </c>
      <c r="AF169" s="6" t="n">
        <v>0.1425</v>
      </c>
      <c r="AG169" s="6" t="n">
        <v>0.8439092945622555</v>
      </c>
      <c r="AH169" s="6" t="n">
        <v>0</v>
      </c>
    </row>
    <row r="170">
      <c r="A170" s="6" t="inlineStr">
        <is>
          <t>E287</t>
        </is>
      </c>
      <c r="B170" s="6" t="n">
        <v>0.1092861382156752</v>
      </c>
      <c r="C170" s="6" t="inlineStr">
        <is>
          <t>B</t>
        </is>
      </c>
      <c r="D170" s="6" t="n">
        <v>0.6698556344255819</v>
      </c>
      <c r="E170" s="6" t="n">
        <v>0.1033289647069328</v>
      </c>
      <c r="F170" s="6" t="n">
        <v>0.2096521898469266</v>
      </c>
      <c r="G170" s="6" t="n">
        <v>169</v>
      </c>
      <c r="H170" s="6" t="n">
        <v>160</v>
      </c>
      <c r="I170" s="6" t="inlineStr">
        <is>
          <t>***鞋材有限公司</t>
        </is>
      </c>
      <c r="J170" s="6" t="b">
        <v>0</v>
      </c>
      <c r="K170" s="6" t="inlineStr">
        <is>
          <t>其他</t>
        </is>
      </c>
      <c r="L170" s="6" t="n">
        <v>0.3</v>
      </c>
      <c r="M170" s="6" t="n">
        <v>1</v>
      </c>
      <c r="N170" s="6" t="n">
        <v>0.1092861382156753</v>
      </c>
      <c r="O170" s="6" t="inlineStr">
        <is>
          <t>B</t>
        </is>
      </c>
      <c r="P170" s="6" t="n">
        <v>0</v>
      </c>
      <c r="Q170" s="6" t="n">
        <v>0.1425</v>
      </c>
      <c r="R170" s="6" t="n">
        <v>0.8439092945622555</v>
      </c>
      <c r="S170" s="6" t="n">
        <v>0.005674684210511168</v>
      </c>
      <c r="T170" s="6" t="inlineStr"/>
      <c r="U170" s="6" t="n">
        <v>0</v>
      </c>
      <c r="V170" s="6" t="n">
        <v>0</v>
      </c>
      <c r="W170" s="6" t="n">
        <v>0</v>
      </c>
      <c r="X170" s="6" t="n">
        <v>0</v>
      </c>
      <c r="Y170" s="6" t="n">
        <v>0</v>
      </c>
      <c r="Z170" s="6" t="n">
        <v>0</v>
      </c>
      <c r="AA170" s="9">
        <f>P170*(1-R170)*((1-B170)*Q170-B170*'模型说明与假设'!$B$7-'模型说明与假设'!$B$8)</f>
        <v/>
      </c>
      <c r="AB170" s="6" t="b">
        <v>0</v>
      </c>
      <c r="AC170" s="6" t="n">
        <v>0.1092861382156753</v>
      </c>
      <c r="AD170" s="6" t="inlineStr">
        <is>
          <t>B</t>
        </is>
      </c>
      <c r="AE170" s="6" t="n">
        <v>0</v>
      </c>
      <c r="AF170" s="6" t="n">
        <v>0.1425</v>
      </c>
      <c r="AG170" s="6" t="n">
        <v>0.8439092945622555</v>
      </c>
      <c r="AH170" s="6" t="n">
        <v>0</v>
      </c>
    </row>
    <row r="171">
      <c r="A171" s="6" t="inlineStr">
        <is>
          <t>E285</t>
        </is>
      </c>
      <c r="B171" s="6" t="n">
        <v>0.1093521978370839</v>
      </c>
      <c r="C171" s="6" t="inlineStr">
        <is>
          <t>B</t>
        </is>
      </c>
      <c r="D171" s="6" t="n">
        <v>0.7046257112561259</v>
      </c>
      <c r="E171" s="6" t="n">
        <v>0.08963051658414406</v>
      </c>
      <c r="F171" s="6" t="n">
        <v>0.2138167366121718</v>
      </c>
      <c r="G171" s="6" t="n">
        <v>170</v>
      </c>
      <c r="H171" s="6" t="n">
        <v>107</v>
      </c>
      <c r="I171" s="6" t="inlineStr">
        <is>
          <t xml:space="preserve">个体经营E285 </t>
        </is>
      </c>
      <c r="J171" s="6" t="b">
        <v>0</v>
      </c>
      <c r="K171" s="6" t="inlineStr">
        <is>
          <t>未知</t>
        </is>
      </c>
      <c r="L171" s="6" t="n">
        <v>0</v>
      </c>
      <c r="M171" s="6" t="n">
        <v>1</v>
      </c>
      <c r="N171" s="6" t="n">
        <v>0.1093521978370839</v>
      </c>
      <c r="O171" s="6" t="inlineStr">
        <is>
          <t>B</t>
        </is>
      </c>
      <c r="P171" s="6" t="n">
        <v>0</v>
      </c>
      <c r="Q171" s="6" t="n">
        <v>0.1425</v>
      </c>
      <c r="R171" s="6" t="n">
        <v>0.8439092945622555</v>
      </c>
      <c r="S171" s="6" t="n">
        <v>0.005667028075527996</v>
      </c>
      <c r="T171" s="6" t="inlineStr"/>
      <c r="U171" s="6" t="n">
        <v>0</v>
      </c>
      <c r="V171" s="6" t="n">
        <v>0</v>
      </c>
      <c r="W171" s="6" t="n">
        <v>0</v>
      </c>
      <c r="X171" s="6" t="n">
        <v>0</v>
      </c>
      <c r="Y171" s="6" t="n">
        <v>0</v>
      </c>
      <c r="Z171" s="6" t="n">
        <v>0</v>
      </c>
      <c r="AA171" s="9">
        <f>P171*(1-R171)*((1-B171)*Q171-B171*'模型说明与假设'!$B$7-'模型说明与假设'!$B$8)</f>
        <v/>
      </c>
      <c r="AB171" s="6" t="b">
        <v>0</v>
      </c>
      <c r="AC171" s="6" t="n">
        <v>0.1093521978370839</v>
      </c>
      <c r="AD171" s="6" t="inlineStr">
        <is>
          <t>B</t>
        </is>
      </c>
      <c r="AE171" s="6" t="n">
        <v>0</v>
      </c>
      <c r="AF171" s="6" t="n">
        <v>0.1425</v>
      </c>
      <c r="AG171" s="6" t="n">
        <v>0.8439092945622555</v>
      </c>
      <c r="AH171" s="6" t="n">
        <v>0</v>
      </c>
    </row>
    <row r="172">
      <c r="A172" s="6" t="inlineStr">
        <is>
          <t>E327</t>
        </is>
      </c>
      <c r="B172" s="6" t="n">
        <v>0.1099765011802115</v>
      </c>
      <c r="C172" s="6" t="inlineStr">
        <is>
          <t>B</t>
        </is>
      </c>
      <c r="D172" s="6" t="n">
        <v>0.6595577247646097</v>
      </c>
      <c r="E172" s="6" t="n">
        <v>0.1112863779727618</v>
      </c>
      <c r="F172" s="6" t="n">
        <v>0.2156012798418137</v>
      </c>
      <c r="G172" s="6" t="n">
        <v>171</v>
      </c>
      <c r="H172" s="6" t="n">
        <v>170</v>
      </c>
      <c r="I172" s="6" t="inlineStr">
        <is>
          <t xml:space="preserve">个体经营E327 </t>
        </is>
      </c>
      <c r="J172" s="6" t="b">
        <v>0</v>
      </c>
      <c r="K172" s="6" t="inlineStr">
        <is>
          <t>未知</t>
        </is>
      </c>
      <c r="L172" s="6" t="n">
        <v>0</v>
      </c>
      <c r="M172" s="6" t="n">
        <v>1</v>
      </c>
      <c r="N172" s="6" t="n">
        <v>0.1099765011802115</v>
      </c>
      <c r="O172" s="6" t="inlineStr">
        <is>
          <t>B</t>
        </is>
      </c>
      <c r="P172" s="6" t="n">
        <v>0</v>
      </c>
      <c r="Q172" s="6" t="n">
        <v>0.1425</v>
      </c>
      <c r="R172" s="6" t="n">
        <v>0.8439092945622555</v>
      </c>
      <c r="S172" s="6" t="n">
        <v>0.005594672973220315</v>
      </c>
      <c r="T172" s="6" t="inlineStr"/>
      <c r="U172" s="6" t="n">
        <v>0</v>
      </c>
      <c r="V172" s="6" t="n">
        <v>0</v>
      </c>
      <c r="W172" s="6" t="n">
        <v>0</v>
      </c>
      <c r="X172" s="6" t="n">
        <v>0</v>
      </c>
      <c r="Y172" s="6" t="n">
        <v>0</v>
      </c>
      <c r="Z172" s="6" t="n">
        <v>0</v>
      </c>
      <c r="AA172" s="9">
        <f>P172*(1-R172)*((1-B172)*Q172-B172*'模型说明与假设'!$B$7-'模型说明与假设'!$B$8)</f>
        <v/>
      </c>
      <c r="AB172" s="6" t="b">
        <v>0</v>
      </c>
      <c r="AC172" s="6" t="n">
        <v>0.1099765011802115</v>
      </c>
      <c r="AD172" s="6" t="inlineStr">
        <is>
          <t>B</t>
        </is>
      </c>
      <c r="AE172" s="6" t="n">
        <v>0</v>
      </c>
      <c r="AF172" s="6" t="n">
        <v>0.1425</v>
      </c>
      <c r="AG172" s="6" t="n">
        <v>0.8439092945622555</v>
      </c>
      <c r="AH172" s="6" t="n">
        <v>0</v>
      </c>
    </row>
    <row r="173">
      <c r="A173" s="6" t="inlineStr">
        <is>
          <t>E304</t>
        </is>
      </c>
      <c r="B173" s="6" t="n">
        <v>0.1019179949033127</v>
      </c>
      <c r="C173" s="6" t="inlineStr">
        <is>
          <t>B</t>
        </is>
      </c>
      <c r="D173" s="6" t="n">
        <v>0.5460193490100778</v>
      </c>
      <c r="E173" s="6" t="n">
        <v>0.1524692283649532</v>
      </c>
      <c r="F173" s="6" t="n">
        <v>0.1833803899667712</v>
      </c>
      <c r="G173" s="6" t="n">
        <v>172</v>
      </c>
      <c r="H173" s="6" t="n">
        <v>263</v>
      </c>
      <c r="I173" s="6" t="inlineStr">
        <is>
          <t>***环保科技有限公司</t>
        </is>
      </c>
      <c r="J173" s="6" t="b">
        <v>0</v>
      </c>
      <c r="K173" s="6" t="inlineStr">
        <is>
          <t>正面/轻影响</t>
        </is>
      </c>
      <c r="L173" s="6" t="n">
        <v>0.9</v>
      </c>
      <c r="M173" s="6" t="n">
        <v>0.9</v>
      </c>
      <c r="N173" s="6" t="n">
        <v>0.1119741959446156</v>
      </c>
      <c r="O173" s="6" t="inlineStr">
        <is>
          <t>B</t>
        </is>
      </c>
      <c r="P173" s="6" t="n">
        <v>0</v>
      </c>
      <c r="Q173" s="6" t="n">
        <v>0.1425</v>
      </c>
      <c r="R173" s="6" t="n">
        <v>0.8439092945622555</v>
      </c>
      <c r="S173" s="6" t="n">
        <v>0.006528632485900525</v>
      </c>
      <c r="T173" s="6" t="inlineStr"/>
      <c r="U173" s="6" t="n">
        <v>0</v>
      </c>
      <c r="V173" s="6" t="n">
        <v>0</v>
      </c>
      <c r="W173" s="6" t="n">
        <v>0</v>
      </c>
      <c r="X173" s="6" t="n">
        <v>0</v>
      </c>
      <c r="Y173" s="6" t="n">
        <v>0</v>
      </c>
      <c r="Z173" s="6" t="n">
        <v>0</v>
      </c>
      <c r="AA173" s="9">
        <f>P173*(1-R173)*((1-B173)*Q173-B173*'模型说明与假设'!$B$7-'模型说明与假设'!$B$8)</f>
        <v/>
      </c>
      <c r="AB173" s="6" t="b">
        <v>0</v>
      </c>
      <c r="AC173" s="6" t="n">
        <v>0.1119741959446156</v>
      </c>
      <c r="AD173" s="6" t="inlineStr">
        <is>
          <t>B</t>
        </is>
      </c>
      <c r="AE173" s="6" t="n">
        <v>0</v>
      </c>
      <c r="AF173" s="6" t="n">
        <v>0.1425</v>
      </c>
      <c r="AG173" s="6" t="n">
        <v>0.8439092945622555</v>
      </c>
      <c r="AH173" s="6" t="n">
        <v>0</v>
      </c>
    </row>
    <row r="174">
      <c r="A174" s="6" t="inlineStr">
        <is>
          <t>E263</t>
        </is>
      </c>
      <c r="B174" s="6" t="n">
        <v>0.1027123958563216</v>
      </c>
      <c r="C174" s="6" t="inlineStr">
        <is>
          <t>B</t>
        </is>
      </c>
      <c r="D174" s="6" t="n">
        <v>0.6849893783498548</v>
      </c>
      <c r="E174" s="6" t="n">
        <v>0.09789855824021844</v>
      </c>
      <c r="F174" s="6" t="n">
        <v>0.2128800362318937</v>
      </c>
      <c r="G174" s="6" t="n">
        <v>173</v>
      </c>
      <c r="H174" s="6" t="n">
        <v>139</v>
      </c>
      <c r="I174" s="6" t="inlineStr">
        <is>
          <t>***通信工程有限公司</t>
        </is>
      </c>
      <c r="J174" s="6" t="b">
        <v>0</v>
      </c>
      <c r="K174" s="6" t="inlineStr">
        <is>
          <t>正面/轻影响</t>
        </is>
      </c>
      <c r="L174" s="6" t="n">
        <v>0.9</v>
      </c>
      <c r="M174" s="6" t="n">
        <v>0.9</v>
      </c>
      <c r="N174" s="6" t="n">
        <v>0.1128371318235624</v>
      </c>
      <c r="O174" s="6" t="inlineStr">
        <is>
          <t>B</t>
        </is>
      </c>
      <c r="P174" s="6" t="n">
        <v>0</v>
      </c>
      <c r="Q174" s="6" t="n">
        <v>0.1425</v>
      </c>
      <c r="R174" s="6" t="n">
        <v>0.8439092945622555</v>
      </c>
      <c r="S174" s="6" t="n">
        <v>0.006436563521572511</v>
      </c>
      <c r="T174" s="6" t="inlineStr"/>
      <c r="U174" s="6" t="n">
        <v>0</v>
      </c>
      <c r="V174" s="6" t="n">
        <v>0</v>
      </c>
      <c r="W174" s="6" t="n">
        <v>0</v>
      </c>
      <c r="X174" s="6" t="n">
        <v>0</v>
      </c>
      <c r="Y174" s="6" t="n">
        <v>0</v>
      </c>
      <c r="Z174" s="6" t="n">
        <v>0</v>
      </c>
      <c r="AA174" s="9">
        <f>P174*(1-R174)*((1-B174)*Q174-B174*'模型说明与假设'!$B$7-'模型说明与假设'!$B$8)</f>
        <v/>
      </c>
      <c r="AB174" s="6" t="b">
        <v>0</v>
      </c>
      <c r="AC174" s="6" t="n">
        <v>0.1128371318235624</v>
      </c>
      <c r="AD174" s="6" t="inlineStr">
        <is>
          <t>B</t>
        </is>
      </c>
      <c r="AE174" s="6" t="n">
        <v>0</v>
      </c>
      <c r="AF174" s="6" t="n">
        <v>0.1425</v>
      </c>
      <c r="AG174" s="6" t="n">
        <v>0.8439092945622555</v>
      </c>
      <c r="AH174" s="6" t="n">
        <v>0</v>
      </c>
    </row>
    <row r="175">
      <c r="A175" s="6" t="inlineStr">
        <is>
          <t>E158</t>
        </is>
      </c>
      <c r="B175" s="6" t="n">
        <v>0.1287884923474301</v>
      </c>
      <c r="C175" s="6" t="inlineStr">
        <is>
          <t>B</t>
        </is>
      </c>
      <c r="D175" s="6" t="n">
        <v>0.687761376682015</v>
      </c>
      <c r="E175" s="6" t="n">
        <v>0.0972506065905097</v>
      </c>
      <c r="F175" s="6" t="n">
        <v>0.2142118433686976</v>
      </c>
      <c r="G175" s="6" t="n">
        <v>174</v>
      </c>
      <c r="H175" s="6" t="n">
        <v>135</v>
      </c>
      <c r="I175" s="6" t="inlineStr">
        <is>
          <t>***装饰工程有限公司</t>
        </is>
      </c>
      <c r="J175" s="6" t="b">
        <v>0</v>
      </c>
      <c r="K175" s="6" t="inlineStr">
        <is>
          <t>中度负面</t>
        </is>
      </c>
      <c r="L175" s="6" t="n">
        <v>0.9</v>
      </c>
      <c r="M175" s="6" t="n">
        <v>1.15</v>
      </c>
      <c r="N175" s="6" t="n">
        <v>0.1139033994882</v>
      </c>
      <c r="O175" s="6" t="inlineStr">
        <is>
          <t>B</t>
        </is>
      </c>
      <c r="P175" s="6" t="n">
        <v>0</v>
      </c>
      <c r="Q175" s="6" t="n">
        <v>0.1425</v>
      </c>
      <c r="R175" s="6" t="n">
        <v>0.8439092945622555</v>
      </c>
      <c r="S175" s="6" t="n">
        <v>0.003414413071525342</v>
      </c>
      <c r="T175" s="6" t="inlineStr"/>
      <c r="U175" s="6" t="n">
        <v>0</v>
      </c>
      <c r="V175" s="6" t="n">
        <v>0</v>
      </c>
      <c r="W175" s="6" t="n">
        <v>0</v>
      </c>
      <c r="X175" s="6" t="n">
        <v>0</v>
      </c>
      <c r="Y175" s="6" t="n">
        <v>0</v>
      </c>
      <c r="Z175" s="6" t="n">
        <v>0</v>
      </c>
      <c r="AA175" s="9">
        <f>P175*(1-R175)*((1-B175)*Q175-B175*'模型说明与假设'!$B$7-'模型说明与假设'!$B$8)</f>
        <v/>
      </c>
      <c r="AB175" s="6" t="b">
        <v>0</v>
      </c>
      <c r="AC175" s="6" t="n">
        <v>0.1139033994882</v>
      </c>
      <c r="AD175" s="6" t="inlineStr">
        <is>
          <t>B</t>
        </is>
      </c>
      <c r="AE175" s="6" t="n">
        <v>0</v>
      </c>
      <c r="AF175" s="6" t="n">
        <v>0.1425</v>
      </c>
      <c r="AG175" s="6" t="n">
        <v>0.8439092945622555</v>
      </c>
      <c r="AH175" s="6" t="n">
        <v>0</v>
      </c>
    </row>
    <row r="176">
      <c r="A176" s="6" t="inlineStr">
        <is>
          <t>E248</t>
        </is>
      </c>
      <c r="B176" s="6" t="n">
        <v>0.105302912944718</v>
      </c>
      <c r="C176" s="6" t="inlineStr">
        <is>
          <t>B</t>
        </is>
      </c>
      <c r="D176" s="6" t="n">
        <v>0.7079663653383911</v>
      </c>
      <c r="E176" s="6" t="n">
        <v>0.08801053795395591</v>
      </c>
      <c r="F176" s="6" t="n">
        <v>0.2133606998349284</v>
      </c>
      <c r="G176" s="6" t="n">
        <v>175</v>
      </c>
      <c r="H176" s="6" t="n">
        <v>102</v>
      </c>
      <c r="I176" s="6" t="inlineStr">
        <is>
          <t>***智能科技有限公司</t>
        </is>
      </c>
      <c r="J176" s="6" t="b">
        <v>0</v>
      </c>
      <c r="K176" s="6" t="inlineStr">
        <is>
          <t>正面/轻影响</t>
        </is>
      </c>
      <c r="L176" s="6" t="n">
        <v>0.9</v>
      </c>
      <c r="M176" s="6" t="n">
        <v>0.9</v>
      </c>
      <c r="N176" s="6" t="n">
        <v>0.1156500930847806</v>
      </c>
      <c r="O176" s="6" t="inlineStr">
        <is>
          <t>B</t>
        </is>
      </c>
      <c r="P176" s="6" t="n">
        <v>0</v>
      </c>
      <c r="Q176" s="6" t="n">
        <v>0.1425</v>
      </c>
      <c r="R176" s="6" t="n">
        <v>0.8439092945622555</v>
      </c>
      <c r="S176" s="6" t="n">
        <v>0.006136329459038583</v>
      </c>
      <c r="T176" s="6" t="inlineStr"/>
      <c r="U176" s="6" t="n">
        <v>0</v>
      </c>
      <c r="V176" s="6" t="n">
        <v>0</v>
      </c>
      <c r="W176" s="6" t="n">
        <v>0</v>
      </c>
      <c r="X176" s="6" t="n">
        <v>0</v>
      </c>
      <c r="Y176" s="6" t="n">
        <v>0</v>
      </c>
      <c r="Z176" s="6" t="n">
        <v>0</v>
      </c>
      <c r="AA176" s="9">
        <f>P176*(1-R176)*((1-B176)*Q176-B176*'模型说明与假设'!$B$7-'模型说明与假设'!$B$8)</f>
        <v/>
      </c>
      <c r="AB176" s="6" t="b">
        <v>0</v>
      </c>
      <c r="AC176" s="6" t="n">
        <v>0.1156500930847806</v>
      </c>
      <c r="AD176" s="6" t="inlineStr">
        <is>
          <t>B</t>
        </is>
      </c>
      <c r="AE176" s="6" t="n">
        <v>0</v>
      </c>
      <c r="AF176" s="6" t="n">
        <v>0.1425</v>
      </c>
      <c r="AG176" s="6" t="n">
        <v>0.8439092945622555</v>
      </c>
      <c r="AH176" s="6" t="n">
        <v>0</v>
      </c>
    </row>
    <row r="177">
      <c r="A177" s="6" t="inlineStr">
        <is>
          <t>E326</t>
        </is>
      </c>
      <c r="B177" s="6" t="n">
        <v>0.1171199500387962</v>
      </c>
      <c r="C177" s="6" t="inlineStr">
        <is>
          <t>B</t>
        </is>
      </c>
      <c r="D177" s="6" t="n">
        <v>0.6617430433103312</v>
      </c>
      <c r="E177" s="6" t="n">
        <v>0.1078963621035976</v>
      </c>
      <c r="F177" s="6" t="n">
        <v>0.2110811488381398</v>
      </c>
      <c r="G177" s="6" t="n">
        <v>176</v>
      </c>
      <c r="H177" s="6" t="n">
        <v>166</v>
      </c>
      <c r="I177" s="6" t="inlineStr">
        <is>
          <t>***包装材料有限公司</t>
        </is>
      </c>
      <c r="J177" s="6" t="b">
        <v>0</v>
      </c>
      <c r="K177" s="6" t="inlineStr">
        <is>
          <t>其他</t>
        </is>
      </c>
      <c r="L177" s="6" t="n">
        <v>0.3</v>
      </c>
      <c r="M177" s="6" t="n">
        <v>1</v>
      </c>
      <c r="N177" s="6" t="n">
        <v>0.1171199500387962</v>
      </c>
      <c r="O177" s="6" t="inlineStr">
        <is>
          <t>B</t>
        </is>
      </c>
      <c r="P177" s="6" t="n">
        <v>0</v>
      </c>
      <c r="Q177" s="6" t="n">
        <v>0.1425</v>
      </c>
      <c r="R177" s="6" t="n">
        <v>0.8439092945622555</v>
      </c>
      <c r="S177" s="6" t="n">
        <v>0.004766766189311078</v>
      </c>
      <c r="T177" s="6" t="inlineStr"/>
      <c r="U177" s="6" t="n">
        <v>0</v>
      </c>
      <c r="V177" s="6" t="n">
        <v>0</v>
      </c>
      <c r="W177" s="6" t="n">
        <v>0</v>
      </c>
      <c r="X177" s="6" t="n">
        <v>0</v>
      </c>
      <c r="Y177" s="6" t="n">
        <v>0</v>
      </c>
      <c r="Z177" s="6" t="n">
        <v>0</v>
      </c>
      <c r="AA177" s="9">
        <f>P177*(1-R177)*((1-B177)*Q177-B177*'模型说明与假设'!$B$7-'模型说明与假设'!$B$8)</f>
        <v/>
      </c>
      <c r="AB177" s="6" t="b">
        <v>0</v>
      </c>
      <c r="AC177" s="6" t="n">
        <v>0.1171199500387962</v>
      </c>
      <c r="AD177" s="6" t="inlineStr">
        <is>
          <t>B</t>
        </is>
      </c>
      <c r="AE177" s="6" t="n">
        <v>0</v>
      </c>
      <c r="AF177" s="6" t="n">
        <v>0.1425</v>
      </c>
      <c r="AG177" s="6" t="n">
        <v>0.8439092945622555</v>
      </c>
      <c r="AH177" s="6" t="n">
        <v>0</v>
      </c>
    </row>
    <row r="178">
      <c r="A178" s="6" t="inlineStr">
        <is>
          <t>E333</t>
        </is>
      </c>
      <c r="B178" s="6" t="n">
        <v>0.1326400437547563</v>
      </c>
      <c r="C178" s="6" t="inlineStr">
        <is>
          <t>B</t>
        </is>
      </c>
      <c r="D178" s="6" t="n">
        <v>0.6767617332143957</v>
      </c>
      <c r="E178" s="6" t="n">
        <v>0.1040934249878356</v>
      </c>
      <c r="F178" s="6" t="n">
        <v>0.2179396870659365</v>
      </c>
      <c r="G178" s="6" t="n">
        <v>177</v>
      </c>
      <c r="H178" s="6" t="n">
        <v>151</v>
      </c>
      <c r="I178" s="6" t="inlineStr">
        <is>
          <t>***房地产营销策划有限公司</t>
        </is>
      </c>
      <c r="J178" s="6" t="b">
        <v>0</v>
      </c>
      <c r="K178" s="6" t="inlineStr">
        <is>
          <t>中度负面</t>
        </is>
      </c>
      <c r="L178" s="6" t="n">
        <v>0.9</v>
      </c>
      <c r="M178" s="6" t="n">
        <v>1.15</v>
      </c>
      <c r="N178" s="6" t="n">
        <v>0.1173697682028195</v>
      </c>
      <c r="O178" s="6" t="inlineStr">
        <is>
          <t>B</t>
        </is>
      </c>
      <c r="P178" s="6" t="n">
        <v>0</v>
      </c>
      <c r="Q178" s="6" t="n">
        <v>0.1425</v>
      </c>
      <c r="R178" s="6" t="n">
        <v>0.8439092945622555</v>
      </c>
      <c r="S178" s="6" t="n">
        <v>0.002968028474697368</v>
      </c>
      <c r="T178" s="6" t="inlineStr"/>
      <c r="U178" s="6" t="n">
        <v>0</v>
      </c>
      <c r="V178" s="6" t="n">
        <v>0</v>
      </c>
      <c r="W178" s="6" t="n">
        <v>0</v>
      </c>
      <c r="X178" s="6" t="n">
        <v>0</v>
      </c>
      <c r="Y178" s="6" t="n">
        <v>0</v>
      </c>
      <c r="Z178" s="6" t="n">
        <v>0</v>
      </c>
      <c r="AA178" s="9">
        <f>P178*(1-R178)*((1-B178)*Q178-B178*'模型说明与假设'!$B$7-'模型说明与假设'!$B$8)</f>
        <v/>
      </c>
      <c r="AB178" s="6" t="b">
        <v>0</v>
      </c>
      <c r="AC178" s="6" t="n">
        <v>0.1173697682028195</v>
      </c>
      <c r="AD178" s="6" t="inlineStr">
        <is>
          <t>B</t>
        </is>
      </c>
      <c r="AE178" s="6" t="n">
        <v>0</v>
      </c>
      <c r="AF178" s="6" t="n">
        <v>0.1425</v>
      </c>
      <c r="AG178" s="6" t="n">
        <v>0.8439092945622555</v>
      </c>
      <c r="AH178" s="6" t="n">
        <v>0</v>
      </c>
    </row>
    <row r="179">
      <c r="A179" s="6" t="inlineStr">
        <is>
          <t>E316</t>
        </is>
      </c>
      <c r="B179" s="6" t="n">
        <v>0.1178199124523829</v>
      </c>
      <c r="C179" s="6" t="inlineStr">
        <is>
          <t>B</t>
        </is>
      </c>
      <c r="D179" s="6" t="n">
        <v>0.7062402774066275</v>
      </c>
      <c r="E179" s="6" t="n">
        <v>0.09086176327249391</v>
      </c>
      <c r="F179" s="6" t="n">
        <v>0.2184446401729724</v>
      </c>
      <c r="G179" s="6" t="n">
        <v>178</v>
      </c>
      <c r="H179" s="6" t="n">
        <v>104</v>
      </c>
      <c r="I179" s="6" t="inlineStr">
        <is>
          <t xml:space="preserve">个体经营E316 </t>
        </is>
      </c>
      <c r="J179" s="6" t="b">
        <v>0</v>
      </c>
      <c r="K179" s="6" t="inlineStr">
        <is>
          <t>未知</t>
        </is>
      </c>
      <c r="L179" s="6" t="n">
        <v>0</v>
      </c>
      <c r="M179" s="6" t="n">
        <v>1</v>
      </c>
      <c r="N179" s="6" t="n">
        <v>0.1178199124523829</v>
      </c>
      <c r="O179" s="6" t="inlineStr">
        <is>
          <t>B</t>
        </is>
      </c>
      <c r="P179" s="6" t="n">
        <v>0</v>
      </c>
      <c r="Q179" s="6" t="n">
        <v>0.1425</v>
      </c>
      <c r="R179" s="6" t="n">
        <v>0.8439092945622555</v>
      </c>
      <c r="S179" s="6" t="n">
        <v>0.004685642401325465</v>
      </c>
      <c r="T179" s="6" t="inlineStr"/>
      <c r="U179" s="6" t="n">
        <v>0</v>
      </c>
      <c r="V179" s="6" t="n">
        <v>0</v>
      </c>
      <c r="W179" s="6" t="n">
        <v>0</v>
      </c>
      <c r="X179" s="6" t="n">
        <v>0</v>
      </c>
      <c r="Y179" s="6" t="n">
        <v>0</v>
      </c>
      <c r="Z179" s="6" t="n">
        <v>0</v>
      </c>
      <c r="AA179" s="9">
        <f>P179*(1-R179)*((1-B179)*Q179-B179*'模型说明与假设'!$B$7-'模型说明与假设'!$B$8)</f>
        <v/>
      </c>
      <c r="AB179" s="6" t="b">
        <v>0</v>
      </c>
      <c r="AC179" s="6" t="n">
        <v>0.1178199124523829</v>
      </c>
      <c r="AD179" s="6" t="inlineStr">
        <is>
          <t>B</t>
        </is>
      </c>
      <c r="AE179" s="6" t="n">
        <v>0</v>
      </c>
      <c r="AF179" s="6" t="n">
        <v>0.1425</v>
      </c>
      <c r="AG179" s="6" t="n">
        <v>0.8439092945622555</v>
      </c>
      <c r="AH179" s="6" t="n">
        <v>0</v>
      </c>
    </row>
    <row r="180">
      <c r="A180" s="6" t="inlineStr">
        <is>
          <t>E341</t>
        </is>
      </c>
      <c r="B180" s="6" t="n">
        <v>0.1338200460254377</v>
      </c>
      <c r="C180" s="6" t="inlineStr">
        <is>
          <t>B</t>
        </is>
      </c>
      <c r="D180" s="6" t="n">
        <v>0.6457207556144445</v>
      </c>
      <c r="E180" s="6" t="n">
        <v>0.1152591837406015</v>
      </c>
      <c r="F180" s="6" t="n">
        <v>0.210075098657176</v>
      </c>
      <c r="G180" s="6" t="n">
        <v>179</v>
      </c>
      <c r="H180" s="6" t="n">
        <v>182</v>
      </c>
      <c r="I180" s="6" t="inlineStr">
        <is>
          <t>***纺织品有限公司</t>
        </is>
      </c>
      <c r="J180" s="6" t="b">
        <v>0</v>
      </c>
      <c r="K180" s="6" t="inlineStr">
        <is>
          <t>中度负面</t>
        </is>
      </c>
      <c r="L180" s="6" t="n">
        <v>0.9</v>
      </c>
      <c r="M180" s="6" t="n">
        <v>1.15</v>
      </c>
      <c r="N180" s="6" t="n">
        <v>0.1184324711623615</v>
      </c>
      <c r="O180" s="6" t="inlineStr">
        <is>
          <t>B</t>
        </is>
      </c>
      <c r="P180" s="6" t="n">
        <v>0</v>
      </c>
      <c r="Q180" s="6" t="n">
        <v>0.1465</v>
      </c>
      <c r="R180" s="6" t="n">
        <v>0.868159535589987</v>
      </c>
      <c r="S180" s="6" t="n">
        <v>0.00284819380384808</v>
      </c>
      <c r="T180" s="6" t="inlineStr"/>
      <c r="U180" s="6" t="n">
        <v>0</v>
      </c>
      <c r="V180" s="6" t="n">
        <v>0</v>
      </c>
      <c r="W180" s="6" t="n">
        <v>0</v>
      </c>
      <c r="X180" s="6" t="n">
        <v>0</v>
      </c>
      <c r="Y180" s="6" t="n">
        <v>0</v>
      </c>
      <c r="Z180" s="6" t="n">
        <v>0</v>
      </c>
      <c r="AA180" s="9">
        <f>P180*(1-R180)*((1-B180)*Q180-B180*'模型说明与假设'!$B$7-'模型说明与假设'!$B$8)</f>
        <v/>
      </c>
      <c r="AB180" s="6" t="b">
        <v>0</v>
      </c>
      <c r="AC180" s="6" t="n">
        <v>0.1184324711623615</v>
      </c>
      <c r="AD180" s="6" t="inlineStr">
        <is>
          <t>B</t>
        </is>
      </c>
      <c r="AE180" s="6" t="n">
        <v>0</v>
      </c>
      <c r="AF180" s="6" t="n">
        <v>0.1425</v>
      </c>
      <c r="AG180" s="6" t="n">
        <v>0.8439092945622555</v>
      </c>
      <c r="AH180" s="6" t="n">
        <v>0</v>
      </c>
    </row>
    <row r="181">
      <c r="A181" s="6" t="inlineStr">
        <is>
          <t>E278</t>
        </is>
      </c>
      <c r="B181" s="6" t="n">
        <v>0.1203132116013462</v>
      </c>
      <c r="C181" s="6" t="inlineStr">
        <is>
          <t>B</t>
        </is>
      </c>
      <c r="D181" s="6" t="n">
        <v>0.6822988233838198</v>
      </c>
      <c r="E181" s="6" t="n">
        <v>0.0970177215475953</v>
      </c>
      <c r="F181" s="6" t="n">
        <v>0.2083564120358126</v>
      </c>
      <c r="G181" s="6" t="n">
        <v>180</v>
      </c>
      <c r="H181" s="6" t="n">
        <v>144</v>
      </c>
      <c r="I181" s="6" t="inlineStr">
        <is>
          <t>***贸易有限公司</t>
        </is>
      </c>
      <c r="J181" s="6" t="b">
        <v>0</v>
      </c>
      <c r="K181" s="6" t="inlineStr">
        <is>
          <t>其他</t>
        </is>
      </c>
      <c r="L181" s="6" t="n">
        <v>0.3</v>
      </c>
      <c r="M181" s="6" t="n">
        <v>1</v>
      </c>
      <c r="N181" s="6" t="n">
        <v>0.1203132116013462</v>
      </c>
      <c r="O181" s="6" t="inlineStr">
        <is>
          <t>B</t>
        </is>
      </c>
      <c r="P181" s="6" t="n">
        <v>0</v>
      </c>
      <c r="Q181" s="6" t="n">
        <v>0.1425</v>
      </c>
      <c r="R181" s="6" t="n">
        <v>0.8439092945622555</v>
      </c>
      <c r="S181" s="6" t="n">
        <v>0.004396675640226427</v>
      </c>
      <c r="T181" s="6" t="inlineStr"/>
      <c r="U181" s="6" t="n">
        <v>0</v>
      </c>
      <c r="V181" s="6" t="n">
        <v>0</v>
      </c>
      <c r="W181" s="6" t="n">
        <v>0</v>
      </c>
      <c r="X181" s="6" t="n">
        <v>0</v>
      </c>
      <c r="Y181" s="6" t="n">
        <v>0</v>
      </c>
      <c r="Z181" s="6" t="n">
        <v>0</v>
      </c>
      <c r="AA181" s="9">
        <f>P181*(1-R181)*((1-B181)*Q181-B181*'模型说明与假设'!$B$7-'模型说明与假设'!$B$8)</f>
        <v/>
      </c>
      <c r="AB181" s="6" t="b">
        <v>0</v>
      </c>
      <c r="AC181" s="6" t="n">
        <v>0.1203132116013462</v>
      </c>
      <c r="AD181" s="6" t="inlineStr">
        <is>
          <t>B</t>
        </is>
      </c>
      <c r="AE181" s="6" t="n">
        <v>0</v>
      </c>
      <c r="AF181" s="6" t="n">
        <v>0.1425</v>
      </c>
      <c r="AG181" s="6" t="n">
        <v>0.8439092945622555</v>
      </c>
      <c r="AH181" s="6" t="n">
        <v>0</v>
      </c>
    </row>
    <row r="182">
      <c r="A182" s="6" t="inlineStr">
        <is>
          <t>E271</t>
        </is>
      </c>
      <c r="B182" s="6" t="n">
        <v>0.1097404080912544</v>
      </c>
      <c r="C182" s="6" t="inlineStr">
        <is>
          <t>B</t>
        </is>
      </c>
      <c r="D182" s="6" t="n">
        <v>0.6796818103231429</v>
      </c>
      <c r="E182" s="6" t="n">
        <v>0.09798012436881529</v>
      </c>
      <c r="F182" s="6" t="n">
        <v>0.2079036110121179</v>
      </c>
      <c r="G182" s="6" t="n">
        <v>181</v>
      </c>
      <c r="H182" s="6" t="n">
        <v>146</v>
      </c>
      <c r="I182" s="6" t="inlineStr">
        <is>
          <t>***科技有限公司</t>
        </is>
      </c>
      <c r="J182" s="6" t="b">
        <v>0</v>
      </c>
      <c r="K182" s="6" t="inlineStr">
        <is>
          <t>正面/轻影响</t>
        </is>
      </c>
      <c r="L182" s="6" t="n">
        <v>0.9</v>
      </c>
      <c r="M182" s="6" t="n">
        <v>0.9</v>
      </c>
      <c r="N182" s="6" t="n">
        <v>0.1204649124730087</v>
      </c>
      <c r="O182" s="6" t="inlineStr">
        <is>
          <t>B</t>
        </is>
      </c>
      <c r="P182" s="6" t="n">
        <v>0</v>
      </c>
      <c r="Q182" s="6" t="n">
        <v>0.1425</v>
      </c>
      <c r="R182" s="6" t="n">
        <v>0.8439092945622555</v>
      </c>
      <c r="S182" s="6" t="n">
        <v>0.005622035536297506</v>
      </c>
      <c r="T182" s="6" t="inlineStr"/>
      <c r="U182" s="6" t="n">
        <v>0</v>
      </c>
      <c r="V182" s="6" t="n">
        <v>0</v>
      </c>
      <c r="W182" s="6" t="n">
        <v>0</v>
      </c>
      <c r="X182" s="6" t="n">
        <v>0</v>
      </c>
      <c r="Y182" s="6" t="n">
        <v>0</v>
      </c>
      <c r="Z182" s="6" t="n">
        <v>0</v>
      </c>
      <c r="AA182" s="9">
        <f>P182*(1-R182)*((1-B182)*Q182-B182*'模型说明与假设'!$B$7-'模型说明与假设'!$B$8)</f>
        <v/>
      </c>
      <c r="AB182" s="6" t="b">
        <v>0</v>
      </c>
      <c r="AC182" s="6" t="n">
        <v>0.1204649124730087</v>
      </c>
      <c r="AD182" s="6" t="inlineStr">
        <is>
          <t>B</t>
        </is>
      </c>
      <c r="AE182" s="6" t="n">
        <v>0</v>
      </c>
      <c r="AF182" s="6" t="n">
        <v>0.1425</v>
      </c>
      <c r="AG182" s="6" t="n">
        <v>0.8439092945622555</v>
      </c>
      <c r="AH182" s="6" t="n">
        <v>0</v>
      </c>
    </row>
    <row r="183">
      <c r="A183" s="6" t="inlineStr">
        <is>
          <t>E346</t>
        </is>
      </c>
      <c r="B183" s="6" t="n">
        <v>0.1205055567897104</v>
      </c>
      <c r="C183" s="6" t="inlineStr">
        <is>
          <t>B</t>
        </is>
      </c>
      <c r="D183" s="6" t="n">
        <v>0.6585307055797446</v>
      </c>
      <c r="E183" s="6" t="n">
        <v>0.1059983723545023</v>
      </c>
      <c r="F183" s="6" t="n">
        <v>0.20442008718654</v>
      </c>
      <c r="G183" s="6" t="n">
        <v>182</v>
      </c>
      <c r="H183" s="6" t="n">
        <v>174</v>
      </c>
      <c r="I183" s="6" t="inlineStr">
        <is>
          <t xml:space="preserve">个体经营E346 </t>
        </is>
      </c>
      <c r="J183" s="6" t="b">
        <v>0</v>
      </c>
      <c r="K183" s="6" t="inlineStr">
        <is>
          <t>未知</t>
        </is>
      </c>
      <c r="L183" s="6" t="n">
        <v>0</v>
      </c>
      <c r="M183" s="6" t="n">
        <v>1</v>
      </c>
      <c r="N183" s="6" t="n">
        <v>0.1205055567897104</v>
      </c>
      <c r="O183" s="6" t="inlineStr">
        <is>
          <t>B</t>
        </is>
      </c>
      <c r="P183" s="6" t="n">
        <v>0</v>
      </c>
      <c r="Q183" s="6" t="n">
        <v>0.1425</v>
      </c>
      <c r="R183" s="6" t="n">
        <v>0.8439092945622555</v>
      </c>
      <c r="S183" s="6" t="n">
        <v>0.004374383342842972</v>
      </c>
      <c r="T183" s="6" t="inlineStr"/>
      <c r="U183" s="6" t="n">
        <v>0</v>
      </c>
      <c r="V183" s="6" t="n">
        <v>0</v>
      </c>
      <c r="W183" s="6" t="n">
        <v>0</v>
      </c>
      <c r="X183" s="6" t="n">
        <v>0</v>
      </c>
      <c r="Y183" s="6" t="n">
        <v>0</v>
      </c>
      <c r="Z183" s="6" t="n">
        <v>0</v>
      </c>
      <c r="AA183" s="9">
        <f>P183*(1-R183)*((1-B183)*Q183-B183*'模型说明与假设'!$B$7-'模型说明与假设'!$B$8)</f>
        <v/>
      </c>
      <c r="AB183" s="6" t="b">
        <v>0</v>
      </c>
      <c r="AC183" s="6" t="n">
        <v>0.1205055567897104</v>
      </c>
      <c r="AD183" s="6" t="inlineStr">
        <is>
          <t>B</t>
        </is>
      </c>
      <c r="AE183" s="6" t="n">
        <v>0</v>
      </c>
      <c r="AF183" s="6" t="n">
        <v>0.1425</v>
      </c>
      <c r="AG183" s="6" t="n">
        <v>0.8439092945622555</v>
      </c>
      <c r="AH183" s="6" t="n">
        <v>0</v>
      </c>
    </row>
    <row r="184">
      <c r="A184" s="6" t="inlineStr">
        <is>
          <t>E245</t>
        </is>
      </c>
      <c r="B184" s="6" t="n">
        <v>0.1362053643948729</v>
      </c>
      <c r="C184" s="6" t="inlineStr">
        <is>
          <t>B</t>
        </is>
      </c>
      <c r="D184" s="6" t="n">
        <v>0.7018886840471525</v>
      </c>
      <c r="E184" s="6" t="n">
        <v>0.09255665122056068</v>
      </c>
      <c r="F184" s="6" t="n">
        <v>0.2179201615254555</v>
      </c>
      <c r="G184" s="6" t="n">
        <v>183</v>
      </c>
      <c r="H184" s="6" t="n">
        <v>110</v>
      </c>
      <c r="I184" s="6" t="inlineStr">
        <is>
          <t>***建筑劳务有限公司</t>
        </is>
      </c>
      <c r="J184" s="6" t="b">
        <v>0</v>
      </c>
      <c r="K184" s="6" t="inlineStr">
        <is>
          <t>中度负面</t>
        </is>
      </c>
      <c r="L184" s="6" t="n">
        <v>0.9</v>
      </c>
      <c r="M184" s="6" t="n">
        <v>1.15</v>
      </c>
      <c r="N184" s="6" t="n">
        <v>0.1205816916366796</v>
      </c>
      <c r="O184" s="6" t="inlineStr">
        <is>
          <t>B</t>
        </is>
      </c>
      <c r="P184" s="6" t="n">
        <v>0</v>
      </c>
      <c r="Q184" s="6" t="n">
        <v>0.1465</v>
      </c>
      <c r="R184" s="6" t="n">
        <v>0.868159535589987</v>
      </c>
      <c r="S184" s="6" t="n">
        <v>0.002613433377839603</v>
      </c>
      <c r="T184" s="6" t="inlineStr"/>
      <c r="U184" s="6" t="n">
        <v>0</v>
      </c>
      <c r="V184" s="6" t="n">
        <v>0</v>
      </c>
      <c r="W184" s="6" t="n">
        <v>0</v>
      </c>
      <c r="X184" s="6" t="n">
        <v>0</v>
      </c>
      <c r="Y184" s="6" t="n">
        <v>0</v>
      </c>
      <c r="Z184" s="6" t="n">
        <v>0</v>
      </c>
      <c r="AA184" s="9">
        <f>P184*(1-R184)*((1-B184)*Q184-B184*'模型说明与假设'!$B$7-'模型说明与假设'!$B$8)</f>
        <v/>
      </c>
      <c r="AB184" s="6" t="b">
        <v>0</v>
      </c>
      <c r="AC184" s="6" t="n">
        <v>0.1205816916366796</v>
      </c>
      <c r="AD184" s="6" t="inlineStr">
        <is>
          <t>B</t>
        </is>
      </c>
      <c r="AE184" s="6" t="n">
        <v>0</v>
      </c>
      <c r="AF184" s="6" t="n">
        <v>0.1425</v>
      </c>
      <c r="AG184" s="6" t="n">
        <v>0.8439092945622555</v>
      </c>
      <c r="AH184" s="6" t="n">
        <v>0</v>
      </c>
    </row>
    <row r="185">
      <c r="A185" s="6" t="inlineStr">
        <is>
          <t>E393</t>
        </is>
      </c>
      <c r="B185" s="6" t="n">
        <v>0.1374016441783494</v>
      </c>
      <c r="C185" s="6" t="inlineStr">
        <is>
          <t>B</t>
        </is>
      </c>
      <c r="D185" s="6" t="n">
        <v>0.6344441430914103</v>
      </c>
      <c r="E185" s="6" t="n">
        <v>0.1205400478130424</v>
      </c>
      <c r="F185" s="6" t="n">
        <v>0.2092044920020711</v>
      </c>
      <c r="G185" s="6" t="n">
        <v>184</v>
      </c>
      <c r="H185" s="6" t="n">
        <v>193</v>
      </c>
      <c r="I185" s="6" t="inlineStr">
        <is>
          <t>***商贸有限责任公司</t>
        </is>
      </c>
      <c r="J185" s="6" t="b">
        <v>0</v>
      </c>
      <c r="K185" s="6" t="inlineStr">
        <is>
          <t>中度负面</t>
        </is>
      </c>
      <c r="L185" s="6" t="n">
        <v>0.9</v>
      </c>
      <c r="M185" s="6" t="n">
        <v>1.15</v>
      </c>
      <c r="N185" s="6" t="n">
        <v>0.1216600768405768</v>
      </c>
      <c r="O185" s="6" t="inlineStr">
        <is>
          <t>B</t>
        </is>
      </c>
      <c r="P185" s="6" t="n">
        <v>0</v>
      </c>
      <c r="Q185" s="6" t="n">
        <v>0.15</v>
      </c>
      <c r="R185" s="6" t="n">
        <v>0.885864918999995</v>
      </c>
      <c r="S185" s="6" t="n">
        <v>0.002505124284128294</v>
      </c>
      <c r="T185" s="6" t="inlineStr"/>
      <c r="U185" s="6" t="n">
        <v>0</v>
      </c>
      <c r="V185" s="6" t="n">
        <v>0</v>
      </c>
      <c r="W185" s="6" t="n">
        <v>0</v>
      </c>
      <c r="X185" s="6" t="n">
        <v>0</v>
      </c>
      <c r="Y185" s="6" t="n">
        <v>0</v>
      </c>
      <c r="Z185" s="6" t="n">
        <v>0</v>
      </c>
      <c r="AA185" s="9">
        <f>P185*(1-R185)*((1-B185)*Q185-B185*'模型说明与假设'!$B$7-'模型说明与假设'!$B$8)</f>
        <v/>
      </c>
      <c r="AB185" s="6" t="b">
        <v>0</v>
      </c>
      <c r="AC185" s="6" t="n">
        <v>0.1216600768405768</v>
      </c>
      <c r="AD185" s="6" t="inlineStr">
        <is>
          <t>B</t>
        </is>
      </c>
      <c r="AE185" s="6" t="n">
        <v>0</v>
      </c>
      <c r="AF185" s="6" t="n">
        <v>0.1425</v>
      </c>
      <c r="AG185" s="6" t="n">
        <v>0.8439092945622555</v>
      </c>
      <c r="AH185" s="6" t="n">
        <v>0</v>
      </c>
    </row>
    <row r="186">
      <c r="A186" s="6" t="inlineStr">
        <is>
          <t>E339</t>
        </is>
      </c>
      <c r="B186" s="6" t="n">
        <v>0.1224402880047947</v>
      </c>
      <c r="C186" s="6" t="inlineStr">
        <is>
          <t>B</t>
        </is>
      </c>
      <c r="D186" s="6" t="n">
        <v>0.6429206929953006</v>
      </c>
      <c r="E186" s="6" t="n">
        <v>0.1157499251755908</v>
      </c>
      <c r="F186" s="6" t="n">
        <v>0.2084075460218859</v>
      </c>
      <c r="G186" s="6" t="n">
        <v>185</v>
      </c>
      <c r="H186" s="6" t="n">
        <v>185</v>
      </c>
      <c r="I186" s="6" t="inlineStr">
        <is>
          <t>***居益卫浴家俬厂</t>
        </is>
      </c>
      <c r="J186" s="6" t="b">
        <v>0</v>
      </c>
      <c r="K186" s="6" t="inlineStr">
        <is>
          <t>其他</t>
        </is>
      </c>
      <c r="L186" s="6" t="n">
        <v>0.3</v>
      </c>
      <c r="M186" s="6" t="n">
        <v>1</v>
      </c>
      <c r="N186" s="6" t="n">
        <v>0.1224402880047947</v>
      </c>
      <c r="O186" s="6" t="inlineStr">
        <is>
          <t>B</t>
        </is>
      </c>
      <c r="P186" s="6" t="n">
        <v>0</v>
      </c>
      <c r="Q186" s="6" t="n">
        <v>0.1425</v>
      </c>
      <c r="R186" s="6" t="n">
        <v>0.8439092945622555</v>
      </c>
      <c r="S186" s="6" t="n">
        <v>0.00415015312439824</v>
      </c>
      <c r="T186" s="6" t="inlineStr"/>
      <c r="U186" s="6" t="n">
        <v>0</v>
      </c>
      <c r="V186" s="6" t="n">
        <v>0</v>
      </c>
      <c r="W186" s="6" t="n">
        <v>0</v>
      </c>
      <c r="X186" s="6" t="n">
        <v>0</v>
      </c>
      <c r="Y186" s="6" t="n">
        <v>0</v>
      </c>
      <c r="Z186" s="6" t="n">
        <v>0</v>
      </c>
      <c r="AA186" s="9">
        <f>P186*(1-R186)*((1-B186)*Q186-B186*'模型说明与假设'!$B$7-'模型说明与假设'!$B$8)</f>
        <v/>
      </c>
      <c r="AB186" s="6" t="b">
        <v>0</v>
      </c>
      <c r="AC186" s="6" t="n">
        <v>0.1224402880047947</v>
      </c>
      <c r="AD186" s="6" t="inlineStr">
        <is>
          <t>B</t>
        </is>
      </c>
      <c r="AE186" s="6" t="n">
        <v>0</v>
      </c>
      <c r="AF186" s="6" t="n">
        <v>0.1425</v>
      </c>
      <c r="AG186" s="6" t="n">
        <v>0.8439092945622555</v>
      </c>
      <c r="AH186" s="6" t="n">
        <v>0</v>
      </c>
    </row>
    <row r="187">
      <c r="A187" s="6" t="inlineStr">
        <is>
          <t>E309</t>
        </is>
      </c>
      <c r="B187" s="6" t="n">
        <v>0.1236834186094625</v>
      </c>
      <c r="C187" s="6" t="inlineStr">
        <is>
          <t>B</t>
        </is>
      </c>
      <c r="D187" s="6" t="n">
        <v>0.6771137877972409</v>
      </c>
      <c r="E187" s="6" t="n">
        <v>0.1002640540311532</v>
      </c>
      <c r="F187" s="6" t="n">
        <v>0.2102603667768544</v>
      </c>
      <c r="G187" s="6" t="n">
        <v>186</v>
      </c>
      <c r="H187" s="6" t="n">
        <v>150</v>
      </c>
      <c r="I187" s="6" t="inlineStr">
        <is>
          <t xml:space="preserve">个体经营E309 </t>
        </is>
      </c>
      <c r="J187" s="6" t="b">
        <v>0</v>
      </c>
      <c r="K187" s="6" t="inlineStr">
        <is>
          <t>未知</t>
        </is>
      </c>
      <c r="L187" s="6" t="n">
        <v>0</v>
      </c>
      <c r="M187" s="6" t="n">
        <v>1</v>
      </c>
      <c r="N187" s="6" t="n">
        <v>0.1236834186094626</v>
      </c>
      <c r="O187" s="6" t="inlineStr">
        <is>
          <t>B</t>
        </is>
      </c>
      <c r="P187" s="6" t="n">
        <v>0</v>
      </c>
      <c r="Q187" s="6" t="n">
        <v>0.1425</v>
      </c>
      <c r="R187" s="6" t="n">
        <v>0.8439092945622555</v>
      </c>
      <c r="S187" s="6" t="n">
        <v>0.004006077583120602</v>
      </c>
      <c r="T187" s="6" t="inlineStr"/>
      <c r="U187" s="6" t="n">
        <v>0</v>
      </c>
      <c r="V187" s="6" t="n">
        <v>0</v>
      </c>
      <c r="W187" s="6" t="n">
        <v>0</v>
      </c>
      <c r="X187" s="6" t="n">
        <v>0</v>
      </c>
      <c r="Y187" s="6" t="n">
        <v>0</v>
      </c>
      <c r="Z187" s="6" t="n">
        <v>0</v>
      </c>
      <c r="AA187" s="9">
        <f>P187*(1-R187)*((1-B187)*Q187-B187*'模型说明与假设'!$B$7-'模型说明与假设'!$B$8)</f>
        <v/>
      </c>
      <c r="AB187" s="6" t="b">
        <v>0</v>
      </c>
      <c r="AC187" s="6" t="n">
        <v>0.1236834186094626</v>
      </c>
      <c r="AD187" s="6" t="inlineStr">
        <is>
          <t>B</t>
        </is>
      </c>
      <c r="AE187" s="6" t="n">
        <v>0</v>
      </c>
      <c r="AF187" s="6" t="n">
        <v>0.1425</v>
      </c>
      <c r="AG187" s="6" t="n">
        <v>0.8439092945622555</v>
      </c>
      <c r="AH187" s="6" t="n">
        <v>0</v>
      </c>
    </row>
    <row r="188">
      <c r="A188" s="6" t="inlineStr">
        <is>
          <t>E357</t>
        </is>
      </c>
      <c r="B188" s="6" t="n">
        <v>0.1242542666290524</v>
      </c>
      <c r="C188" s="6" t="inlineStr">
        <is>
          <t>B</t>
        </is>
      </c>
      <c r="D188" s="6" t="n">
        <v>0.6214732895968399</v>
      </c>
      <c r="E188" s="6" t="n">
        <v>0.1241025875025168</v>
      </c>
      <c r="F188" s="6" t="n">
        <v>0.2037542957550426</v>
      </c>
      <c r="G188" s="6" t="n">
        <v>187</v>
      </c>
      <c r="H188" s="6" t="n">
        <v>203</v>
      </c>
      <c r="I188" s="6" t="inlineStr">
        <is>
          <t>***家居经营部</t>
        </is>
      </c>
      <c r="J188" s="6" t="b">
        <v>0</v>
      </c>
      <c r="K188" s="6" t="inlineStr">
        <is>
          <t>其他</t>
        </is>
      </c>
      <c r="L188" s="6" t="n">
        <v>0.3</v>
      </c>
      <c r="M188" s="6" t="n">
        <v>1</v>
      </c>
      <c r="N188" s="6" t="n">
        <v>0.1242542666290524</v>
      </c>
      <c r="O188" s="6" t="inlineStr">
        <is>
          <t>B</t>
        </is>
      </c>
      <c r="P188" s="6" t="n">
        <v>0</v>
      </c>
      <c r="Q188" s="6" t="n">
        <v>0.1425</v>
      </c>
      <c r="R188" s="6" t="n">
        <v>0.8439092945622555</v>
      </c>
      <c r="S188" s="6" t="n">
        <v>0.003939917811089523</v>
      </c>
      <c r="T188" s="6" t="inlineStr"/>
      <c r="U188" s="6" t="n">
        <v>0</v>
      </c>
      <c r="V188" s="6" t="n">
        <v>0</v>
      </c>
      <c r="W188" s="6" t="n">
        <v>0</v>
      </c>
      <c r="X188" s="6" t="n">
        <v>0</v>
      </c>
      <c r="Y188" s="6" t="n">
        <v>0</v>
      </c>
      <c r="Z188" s="6" t="n">
        <v>0</v>
      </c>
      <c r="AA188" s="9">
        <f>P188*(1-R188)*((1-B188)*Q188-B188*'模型说明与假设'!$B$7-'模型说明与假设'!$B$8)</f>
        <v/>
      </c>
      <c r="AB188" s="6" t="b">
        <v>0</v>
      </c>
      <c r="AC188" s="6" t="n">
        <v>0.1242542666290524</v>
      </c>
      <c r="AD188" s="6" t="inlineStr">
        <is>
          <t>B</t>
        </is>
      </c>
      <c r="AE188" s="6" t="n">
        <v>0</v>
      </c>
      <c r="AF188" s="6" t="n">
        <v>0.1425</v>
      </c>
      <c r="AG188" s="6" t="n">
        <v>0.8439092945622555</v>
      </c>
      <c r="AH188" s="6" t="n">
        <v>0</v>
      </c>
    </row>
    <row r="189">
      <c r="A189" s="6" t="inlineStr">
        <is>
          <t>E329</t>
        </is>
      </c>
      <c r="B189" s="6" t="n">
        <v>0.1246790383811467</v>
      </c>
      <c r="C189" s="6" t="inlineStr">
        <is>
          <t>B</t>
        </is>
      </c>
      <c r="D189" s="6" t="n">
        <v>0.6354525565934566</v>
      </c>
      <c r="E189" s="6" t="n">
        <v>0.1193816750854266</v>
      </c>
      <c r="F189" s="6" t="n">
        <v>0.2080974425017241</v>
      </c>
      <c r="G189" s="6" t="n">
        <v>188</v>
      </c>
      <c r="H189" s="6" t="n">
        <v>192</v>
      </c>
      <c r="I189" s="6" t="inlineStr">
        <is>
          <t>***园艺有限责任公司</t>
        </is>
      </c>
      <c r="J189" s="6" t="b">
        <v>0</v>
      </c>
      <c r="K189" s="6" t="inlineStr">
        <is>
          <t>其他</t>
        </is>
      </c>
      <c r="L189" s="6" t="n">
        <v>0.3</v>
      </c>
      <c r="M189" s="6" t="n">
        <v>1</v>
      </c>
      <c r="N189" s="6" t="n">
        <v>0.1246790383811467</v>
      </c>
      <c r="O189" s="6" t="inlineStr">
        <is>
          <t>B</t>
        </is>
      </c>
      <c r="P189" s="6" t="n">
        <v>0</v>
      </c>
      <c r="Q189" s="6" t="n">
        <v>0.1425</v>
      </c>
      <c r="R189" s="6" t="n">
        <v>0.8439092945622555</v>
      </c>
      <c r="S189" s="6" t="n">
        <v>0.00389068789118197</v>
      </c>
      <c r="T189" s="6" t="inlineStr"/>
      <c r="U189" s="6" t="n">
        <v>0</v>
      </c>
      <c r="V189" s="6" t="n">
        <v>0</v>
      </c>
      <c r="W189" s="6" t="n">
        <v>0</v>
      </c>
      <c r="X189" s="6" t="n">
        <v>0</v>
      </c>
      <c r="Y189" s="6" t="n">
        <v>0</v>
      </c>
      <c r="Z189" s="6" t="n">
        <v>0</v>
      </c>
      <c r="AA189" s="9">
        <f>P189*(1-R189)*((1-B189)*Q189-B189*'模型说明与假设'!$B$7-'模型说明与假设'!$B$8)</f>
        <v/>
      </c>
      <c r="AB189" s="6" t="b">
        <v>0</v>
      </c>
      <c r="AC189" s="6" t="n">
        <v>0.1246790383811467</v>
      </c>
      <c r="AD189" s="6" t="inlineStr">
        <is>
          <t>B</t>
        </is>
      </c>
      <c r="AE189" s="6" t="n">
        <v>0</v>
      </c>
      <c r="AF189" s="6" t="n">
        <v>0.1425</v>
      </c>
      <c r="AG189" s="6" t="n">
        <v>0.8439092945622555</v>
      </c>
      <c r="AH189" s="6" t="n">
        <v>0</v>
      </c>
    </row>
    <row r="190">
      <c r="A190" s="6" t="inlineStr">
        <is>
          <t>E334</t>
        </is>
      </c>
      <c r="B190" s="6" t="n">
        <v>0.1138157564102089</v>
      </c>
      <c r="C190" s="6" t="inlineStr">
        <is>
          <t>B</t>
        </is>
      </c>
      <c r="D190" s="6" t="n">
        <v>0.6548290868384412</v>
      </c>
      <c r="E190" s="6" t="n">
        <v>0.1104513581364377</v>
      </c>
      <c r="F190" s="6" t="n">
        <v>0.2095389826624709</v>
      </c>
      <c r="G190" s="6" t="n">
        <v>189</v>
      </c>
      <c r="H190" s="6" t="n">
        <v>177</v>
      </c>
      <c r="I190" s="6" t="inlineStr">
        <is>
          <t>***机械科技有限公司</t>
        </is>
      </c>
      <c r="J190" s="6" t="b">
        <v>0</v>
      </c>
      <c r="K190" s="6" t="inlineStr">
        <is>
          <t>正面/轻影响</t>
        </is>
      </c>
      <c r="L190" s="6" t="n">
        <v>0.9</v>
      </c>
      <c r="M190" s="6" t="n">
        <v>0.9</v>
      </c>
      <c r="N190" s="6" t="n">
        <v>0.1248826610634042</v>
      </c>
      <c r="O190" s="6" t="inlineStr">
        <is>
          <t>B</t>
        </is>
      </c>
      <c r="P190" s="6" t="n">
        <v>0</v>
      </c>
      <c r="Q190" s="6" t="n">
        <v>0.1425</v>
      </c>
      <c r="R190" s="6" t="n">
        <v>0.8439092945622555</v>
      </c>
      <c r="S190" s="6" t="n">
        <v>0.005149713470744977</v>
      </c>
      <c r="T190" s="6" t="inlineStr"/>
      <c r="U190" s="6" t="n">
        <v>0</v>
      </c>
      <c r="V190" s="6" t="n">
        <v>0</v>
      </c>
      <c r="W190" s="6" t="n">
        <v>0</v>
      </c>
      <c r="X190" s="6" t="n">
        <v>0</v>
      </c>
      <c r="Y190" s="6" t="n">
        <v>0</v>
      </c>
      <c r="Z190" s="6" t="n">
        <v>0</v>
      </c>
      <c r="AA190" s="9">
        <f>P190*(1-R190)*((1-B190)*Q190-B190*'模型说明与假设'!$B$7-'模型说明与假设'!$B$8)</f>
        <v/>
      </c>
      <c r="AB190" s="6" t="b">
        <v>0</v>
      </c>
      <c r="AC190" s="6" t="n">
        <v>0.1248826610634042</v>
      </c>
      <c r="AD190" s="6" t="inlineStr">
        <is>
          <t>B</t>
        </is>
      </c>
      <c r="AE190" s="6" t="n">
        <v>0</v>
      </c>
      <c r="AF190" s="6" t="n">
        <v>0.1425</v>
      </c>
      <c r="AG190" s="6" t="n">
        <v>0.8439092945622555</v>
      </c>
      <c r="AH190" s="6" t="n">
        <v>0</v>
      </c>
    </row>
    <row r="191">
      <c r="A191" s="6" t="inlineStr">
        <is>
          <t>E314</t>
        </is>
      </c>
      <c r="B191" s="6" t="n">
        <v>0.1419633447194196</v>
      </c>
      <c r="C191" s="6" t="inlineStr">
        <is>
          <t>B</t>
        </is>
      </c>
      <c r="D191" s="6" t="n">
        <v>0.6600362802648027</v>
      </c>
      <c r="E191" s="6" t="n">
        <v>0.1072553494668278</v>
      </c>
      <c r="F191" s="6" t="n">
        <v>0.2082352256756331</v>
      </c>
      <c r="G191" s="6" t="n">
        <v>190</v>
      </c>
      <c r="H191" s="6" t="n">
        <v>169</v>
      </c>
      <c r="I191" s="6" t="inlineStr">
        <is>
          <t>***房地产营销策划有限公司</t>
        </is>
      </c>
      <c r="J191" s="6" t="b">
        <v>0</v>
      </c>
      <c r="K191" s="6" t="inlineStr">
        <is>
          <t>中度负面</t>
        </is>
      </c>
      <c r="L191" s="6" t="n">
        <v>0.9</v>
      </c>
      <c r="M191" s="6" t="n">
        <v>1.15</v>
      </c>
      <c r="N191" s="6" t="n">
        <v>0.125775363843122</v>
      </c>
      <c r="O191" s="6" t="inlineStr">
        <is>
          <t>B</t>
        </is>
      </c>
      <c r="P191" s="6" t="n">
        <v>0</v>
      </c>
      <c r="Q191" s="6" t="n">
        <v>0.15</v>
      </c>
      <c r="R191" s="6" t="n">
        <v>0.885864918999995</v>
      </c>
      <c r="S191" s="6" t="n">
        <v>0.002114636738563683</v>
      </c>
      <c r="T191" s="6" t="inlineStr"/>
      <c r="U191" s="6" t="n">
        <v>0</v>
      </c>
      <c r="V191" s="6" t="n">
        <v>0</v>
      </c>
      <c r="W191" s="6" t="n">
        <v>0</v>
      </c>
      <c r="X191" s="6" t="n">
        <v>0</v>
      </c>
      <c r="Y191" s="6" t="n">
        <v>0</v>
      </c>
      <c r="Z191" s="6" t="n">
        <v>0</v>
      </c>
      <c r="AA191" s="9">
        <f>P191*(1-R191)*((1-B191)*Q191-B191*'模型说明与假设'!$B$7-'模型说明与假设'!$B$8)</f>
        <v/>
      </c>
      <c r="AB191" s="6" t="b">
        <v>0</v>
      </c>
      <c r="AC191" s="6" t="n">
        <v>0.125775363843122</v>
      </c>
      <c r="AD191" s="6" t="inlineStr">
        <is>
          <t>B</t>
        </is>
      </c>
      <c r="AE191" s="6" t="n">
        <v>0</v>
      </c>
      <c r="AF191" s="6" t="n">
        <v>0.1425</v>
      </c>
      <c r="AG191" s="6" t="n">
        <v>0.8439092945622555</v>
      </c>
      <c r="AH191" s="6" t="n">
        <v>0</v>
      </c>
    </row>
    <row r="192">
      <c r="A192" s="6" t="inlineStr">
        <is>
          <t>E382</t>
        </is>
      </c>
      <c r="B192" s="6" t="n">
        <v>0.1422093824559432</v>
      </c>
      <c r="C192" s="6" t="inlineStr">
        <is>
          <t>B</t>
        </is>
      </c>
      <c r="D192" s="6" t="n">
        <v>0.6139804499644292</v>
      </c>
      <c r="E192" s="6" t="n">
        <v>0.128220178196475</v>
      </c>
      <c r="F192" s="6" t="n">
        <v>0.2039396261053014</v>
      </c>
      <c r="G192" s="6" t="n">
        <v>191</v>
      </c>
      <c r="H192" s="6" t="n">
        <v>211</v>
      </c>
      <c r="I192" s="6" t="inlineStr">
        <is>
          <t>***教育信息咨询有限公司***分公司</t>
        </is>
      </c>
      <c r="J192" s="6" t="b">
        <v>0</v>
      </c>
      <c r="K192" s="6" t="inlineStr">
        <is>
          <t>中度负面</t>
        </is>
      </c>
      <c r="L192" s="6" t="n">
        <v>0.9</v>
      </c>
      <c r="M192" s="6" t="n">
        <v>1.15</v>
      </c>
      <c r="N192" s="6" t="n">
        <v>0.1259974658498889</v>
      </c>
      <c r="O192" s="6" t="inlineStr">
        <is>
          <t>B</t>
        </is>
      </c>
      <c r="P192" s="6" t="n">
        <v>0</v>
      </c>
      <c r="Q192" s="6" t="n">
        <v>0.15</v>
      </c>
      <c r="R192" s="6" t="n">
        <v>0.885864918999995</v>
      </c>
      <c r="S192" s="6" t="n">
        <v>0.0020935755858233</v>
      </c>
      <c r="T192" s="6" t="inlineStr"/>
      <c r="U192" s="6" t="n">
        <v>0</v>
      </c>
      <c r="V192" s="6" t="n">
        <v>0</v>
      </c>
      <c r="W192" s="6" t="n">
        <v>0</v>
      </c>
      <c r="X192" s="6" t="n">
        <v>0</v>
      </c>
      <c r="Y192" s="6" t="n">
        <v>0</v>
      </c>
      <c r="Z192" s="6" t="n">
        <v>0</v>
      </c>
      <c r="AA192" s="9">
        <f>P192*(1-R192)*((1-B192)*Q192-B192*'模型说明与假设'!$B$7-'模型说明与假设'!$B$8)</f>
        <v/>
      </c>
      <c r="AB192" s="6" t="b">
        <v>0</v>
      </c>
      <c r="AC192" s="6" t="n">
        <v>0.1259974658498889</v>
      </c>
      <c r="AD192" s="6" t="inlineStr">
        <is>
          <t>B</t>
        </is>
      </c>
      <c r="AE192" s="6" t="n">
        <v>0</v>
      </c>
      <c r="AF192" s="6" t="n">
        <v>0.1425</v>
      </c>
      <c r="AG192" s="6" t="n">
        <v>0.8439092945622555</v>
      </c>
      <c r="AH192" s="6" t="n">
        <v>0</v>
      </c>
    </row>
    <row r="193">
      <c r="A193" s="6" t="inlineStr">
        <is>
          <t>E387</t>
        </is>
      </c>
      <c r="B193" s="6" t="n">
        <v>0.1261563121441561</v>
      </c>
      <c r="C193" s="6" t="inlineStr">
        <is>
          <t>B</t>
        </is>
      </c>
      <c r="D193" s="6" t="n">
        <v>0.6081334004422163</v>
      </c>
      <c r="E193" s="6" t="n">
        <v>0.1363165973024028</v>
      </c>
      <c r="F193" s="6" t="n">
        <v>0.2115482053019384</v>
      </c>
      <c r="G193" s="6" t="n">
        <v>192</v>
      </c>
      <c r="H193" s="6" t="n">
        <v>217</v>
      </c>
      <c r="I193" s="6" t="inlineStr">
        <is>
          <t>***农副产品经营部</t>
        </is>
      </c>
      <c r="J193" s="6" t="b">
        <v>0</v>
      </c>
      <c r="K193" s="6" t="inlineStr">
        <is>
          <t>其他</t>
        </is>
      </c>
      <c r="L193" s="6" t="n">
        <v>0.3</v>
      </c>
      <c r="M193" s="6" t="n">
        <v>1</v>
      </c>
      <c r="N193" s="6" t="n">
        <v>0.1261563121441561</v>
      </c>
      <c r="O193" s="6" t="inlineStr">
        <is>
          <t>B</t>
        </is>
      </c>
      <c r="P193" s="6" t="n">
        <v>0</v>
      </c>
      <c r="Q193" s="6" t="n">
        <v>0.1425</v>
      </c>
      <c r="R193" s="6" t="n">
        <v>0.8439092945622555</v>
      </c>
      <c r="S193" s="6" t="n">
        <v>0.003719475778615802</v>
      </c>
      <c r="T193" s="6" t="inlineStr"/>
      <c r="U193" s="6" t="n">
        <v>0</v>
      </c>
      <c r="V193" s="6" t="n">
        <v>0</v>
      </c>
      <c r="W193" s="6" t="n">
        <v>0</v>
      </c>
      <c r="X193" s="6" t="n">
        <v>0</v>
      </c>
      <c r="Y193" s="6" t="n">
        <v>0</v>
      </c>
      <c r="Z193" s="6" t="n">
        <v>0</v>
      </c>
      <c r="AA193" s="9">
        <f>P193*(1-R193)*((1-B193)*Q193-B193*'模型说明与假设'!$B$7-'模型说明与假设'!$B$8)</f>
        <v/>
      </c>
      <c r="AB193" s="6" t="b">
        <v>0</v>
      </c>
      <c r="AC193" s="6" t="n">
        <v>0.1261563121441561</v>
      </c>
      <c r="AD193" s="6" t="inlineStr">
        <is>
          <t>B</t>
        </is>
      </c>
      <c r="AE193" s="6" t="n">
        <v>0</v>
      </c>
      <c r="AF193" s="6" t="n">
        <v>0.1425</v>
      </c>
      <c r="AG193" s="6" t="n">
        <v>0.8439092945622555</v>
      </c>
      <c r="AH193" s="6" t="n">
        <v>0</v>
      </c>
    </row>
    <row r="194">
      <c r="A194" s="6" t="inlineStr">
        <is>
          <t>E239</t>
        </is>
      </c>
      <c r="B194" s="6" t="n">
        <v>0.1291797537265735</v>
      </c>
      <c r="C194" s="6" t="inlineStr">
        <is>
          <t>B</t>
        </is>
      </c>
      <c r="D194" s="6" t="n">
        <v>0.6704877599367474</v>
      </c>
      <c r="E194" s="6" t="n">
        <v>0.09769481853015566</v>
      </c>
      <c r="F194" s="6" t="n">
        <v>0.1987883060766945</v>
      </c>
      <c r="G194" s="6" t="n">
        <v>193</v>
      </c>
      <c r="H194" s="6" t="n">
        <v>158</v>
      </c>
      <c r="I194" s="6" t="inlineStr">
        <is>
          <t xml:space="preserve">个体经营E239 </t>
        </is>
      </c>
      <c r="J194" s="6" t="b">
        <v>0</v>
      </c>
      <c r="K194" s="6" t="inlineStr">
        <is>
          <t>未知</t>
        </is>
      </c>
      <c r="L194" s="6" t="n">
        <v>0</v>
      </c>
      <c r="M194" s="6" t="n">
        <v>1</v>
      </c>
      <c r="N194" s="6" t="n">
        <v>0.1291797537265735</v>
      </c>
      <c r="O194" s="6" t="inlineStr">
        <is>
          <t>B</t>
        </is>
      </c>
      <c r="P194" s="6" t="n">
        <v>0</v>
      </c>
      <c r="Q194" s="6" t="n">
        <v>0.1425</v>
      </c>
      <c r="R194" s="6" t="n">
        <v>0.8439092945622555</v>
      </c>
      <c r="S194" s="6" t="n">
        <v>0.003369066914999668</v>
      </c>
      <c r="T194" s="6" t="inlineStr"/>
      <c r="U194" s="6" t="n">
        <v>0</v>
      </c>
      <c r="V194" s="6" t="n">
        <v>0</v>
      </c>
      <c r="W194" s="6" t="n">
        <v>0</v>
      </c>
      <c r="X194" s="6" t="n">
        <v>0</v>
      </c>
      <c r="Y194" s="6" t="n">
        <v>0</v>
      </c>
      <c r="Z194" s="6" t="n">
        <v>0</v>
      </c>
      <c r="AA194" s="9">
        <f>P194*(1-R194)*((1-B194)*Q194-B194*'模型说明与假设'!$B$7-'模型说明与假设'!$B$8)</f>
        <v/>
      </c>
      <c r="AB194" s="6" t="b">
        <v>0</v>
      </c>
      <c r="AC194" s="6" t="n">
        <v>0.1291797537265735</v>
      </c>
      <c r="AD194" s="6" t="inlineStr">
        <is>
          <t>B</t>
        </is>
      </c>
      <c r="AE194" s="6" t="n">
        <v>0</v>
      </c>
      <c r="AF194" s="6" t="n">
        <v>0.1425</v>
      </c>
      <c r="AG194" s="6" t="n">
        <v>0.8439092945622555</v>
      </c>
      <c r="AH194" s="6" t="n">
        <v>0</v>
      </c>
    </row>
    <row r="195">
      <c r="A195" s="6" t="inlineStr">
        <is>
          <t>E388</t>
        </is>
      </c>
      <c r="B195" s="6" t="n">
        <v>0.1505350190338603</v>
      </c>
      <c r="C195" s="6" t="inlineStr">
        <is>
          <t>B</t>
        </is>
      </c>
      <c r="D195" s="6" t="n">
        <v>0.6624529756020658</v>
      </c>
      <c r="E195" s="6" t="n">
        <v>0.1101772845145391</v>
      </c>
      <c r="F195" s="6" t="n">
        <v>0.2162284502451046</v>
      </c>
      <c r="G195" s="6" t="n">
        <v>194</v>
      </c>
      <c r="H195" s="6" t="n">
        <v>164</v>
      </c>
      <c r="I195" s="6" t="inlineStr">
        <is>
          <t>***商贸有限公司</t>
        </is>
      </c>
      <c r="J195" s="6" t="b">
        <v>0</v>
      </c>
      <c r="K195" s="6" t="inlineStr">
        <is>
          <t>中度负面</t>
        </is>
      </c>
      <c r="L195" s="6" t="n">
        <v>0.9</v>
      </c>
      <c r="M195" s="6" t="n">
        <v>1.15</v>
      </c>
      <c r="N195" s="6" t="n">
        <v>0.1335217157718546</v>
      </c>
      <c r="O195" s="6" t="inlineStr">
        <is>
          <t>B</t>
        </is>
      </c>
      <c r="P195" s="6" t="n">
        <v>0</v>
      </c>
      <c r="Q195" s="6" t="n">
        <v>0.15</v>
      </c>
      <c r="R195" s="6" t="n">
        <v>0.885864918999995</v>
      </c>
      <c r="S195" s="6" t="n">
        <v>0.001380890181925418</v>
      </c>
      <c r="T195" s="6" t="inlineStr"/>
      <c r="U195" s="6" t="n">
        <v>0</v>
      </c>
      <c r="V195" s="6" t="n">
        <v>0</v>
      </c>
      <c r="W195" s="6" t="n">
        <v>0</v>
      </c>
      <c r="X195" s="6" t="n">
        <v>0</v>
      </c>
      <c r="Y195" s="6" t="n">
        <v>0</v>
      </c>
      <c r="Z195" s="6" t="n">
        <v>0</v>
      </c>
      <c r="AA195" s="9">
        <f>P195*(1-R195)*((1-B195)*Q195-B195*'模型说明与假设'!$B$7-'模型说明与假设'!$B$8)</f>
        <v/>
      </c>
      <c r="AB195" s="6" t="b">
        <v>0</v>
      </c>
      <c r="AC195" s="6" t="n">
        <v>0.1335217157718546</v>
      </c>
      <c r="AD195" s="6" t="inlineStr">
        <is>
          <t>B</t>
        </is>
      </c>
      <c r="AE195" s="6" t="n">
        <v>0</v>
      </c>
      <c r="AF195" s="6" t="n">
        <v>0.1465</v>
      </c>
      <c r="AG195" s="6" t="n">
        <v>0.868159535589987</v>
      </c>
      <c r="AH195" s="6" t="n">
        <v>0</v>
      </c>
    </row>
    <row r="196">
      <c r="A196" s="6" t="inlineStr">
        <is>
          <t>E215</t>
        </is>
      </c>
      <c r="B196" s="6" t="n">
        <v>0.151487092128902</v>
      </c>
      <c r="C196" s="6" t="inlineStr">
        <is>
          <t>B</t>
        </is>
      </c>
      <c r="D196" s="6" t="n">
        <v>0.6734555796437245</v>
      </c>
      <c r="E196" s="6" t="n">
        <v>0.1043953561264461</v>
      </c>
      <c r="F196" s="6" t="n">
        <v>0.2153019028637574</v>
      </c>
      <c r="G196" s="6" t="n">
        <v>195</v>
      </c>
      <c r="H196" s="6" t="n">
        <v>153</v>
      </c>
      <c r="I196" s="6" t="inlineStr">
        <is>
          <t>***建筑工程有限公司</t>
        </is>
      </c>
      <c r="J196" s="6" t="b">
        <v>0</v>
      </c>
      <c r="K196" s="6" t="inlineStr">
        <is>
          <t>中度负面</t>
        </is>
      </c>
      <c r="L196" s="6" t="n">
        <v>0.9</v>
      </c>
      <c r="M196" s="6" t="n">
        <v>1.15</v>
      </c>
      <c r="N196" s="6" t="n">
        <v>0.1343832090117594</v>
      </c>
      <c r="O196" s="6" t="inlineStr">
        <is>
          <t>B</t>
        </is>
      </c>
      <c r="P196" s="6" t="n">
        <v>0</v>
      </c>
      <c r="Q196" s="6" t="n">
        <v>0.15</v>
      </c>
      <c r="R196" s="6" t="n">
        <v>0.885864918999995</v>
      </c>
      <c r="S196" s="6" t="n">
        <v>0.001299391477060036</v>
      </c>
      <c r="T196" s="6" t="inlineStr"/>
      <c r="U196" s="6" t="n">
        <v>0</v>
      </c>
      <c r="V196" s="6" t="n">
        <v>0</v>
      </c>
      <c r="W196" s="6" t="n">
        <v>0</v>
      </c>
      <c r="X196" s="6" t="n">
        <v>0</v>
      </c>
      <c r="Y196" s="6" t="n">
        <v>0</v>
      </c>
      <c r="Z196" s="6" t="n">
        <v>0</v>
      </c>
      <c r="AA196" s="9">
        <f>P196*(1-R196)*((1-B196)*Q196-B196*'模型说明与假设'!$B$7-'模型说明与假设'!$B$8)</f>
        <v/>
      </c>
      <c r="AB196" s="6" t="b">
        <v>0</v>
      </c>
      <c r="AC196" s="6" t="n">
        <v>0.1343832090117594</v>
      </c>
      <c r="AD196" s="6" t="inlineStr">
        <is>
          <t>B</t>
        </is>
      </c>
      <c r="AE196" s="6" t="n">
        <v>0</v>
      </c>
      <c r="AF196" s="6" t="n">
        <v>0.1465</v>
      </c>
      <c r="AG196" s="6" t="n">
        <v>0.868159535589987</v>
      </c>
      <c r="AH196" s="6" t="n">
        <v>0</v>
      </c>
    </row>
    <row r="197">
      <c r="A197" s="6" t="inlineStr">
        <is>
          <t>E133</t>
        </is>
      </c>
      <c r="B197" s="6" t="n">
        <v>0.1344781139540116</v>
      </c>
      <c r="C197" s="6" t="inlineStr">
        <is>
          <t>B</t>
        </is>
      </c>
      <c r="D197" s="6" t="n">
        <v>0.6936280355516196</v>
      </c>
      <c r="E197" s="6" t="n">
        <v>0.09723162180320551</v>
      </c>
      <c r="F197" s="6" t="n">
        <v>0.2201329973069994</v>
      </c>
      <c r="G197" s="6" t="n">
        <v>196</v>
      </c>
      <c r="H197" s="6" t="n">
        <v>123</v>
      </c>
      <c r="I197" s="6" t="inlineStr">
        <is>
          <t xml:space="preserve">个体经营E133 </t>
        </is>
      </c>
      <c r="J197" s="6" t="b">
        <v>0</v>
      </c>
      <c r="K197" s="6" t="inlineStr">
        <is>
          <t>未知</t>
        </is>
      </c>
      <c r="L197" s="6" t="n">
        <v>0</v>
      </c>
      <c r="M197" s="6" t="n">
        <v>1</v>
      </c>
      <c r="N197" s="6" t="n">
        <v>0.1344781139540116</v>
      </c>
      <c r="O197" s="6" t="inlineStr">
        <is>
          <t>B</t>
        </is>
      </c>
      <c r="P197" s="6" t="n">
        <v>0</v>
      </c>
      <c r="Q197" s="6" t="n">
        <v>0.1465</v>
      </c>
      <c r="R197" s="6" t="n">
        <v>0.868159535589987</v>
      </c>
      <c r="S197" s="6" t="n">
        <v>0.002783427477795303</v>
      </c>
      <c r="T197" s="6" t="inlineStr"/>
      <c r="U197" s="6" t="n">
        <v>0</v>
      </c>
      <c r="V197" s="6" t="n">
        <v>0</v>
      </c>
      <c r="W197" s="6" t="n">
        <v>0</v>
      </c>
      <c r="X197" s="6" t="n">
        <v>0</v>
      </c>
      <c r="Y197" s="6" t="n">
        <v>0</v>
      </c>
      <c r="Z197" s="6" t="n">
        <v>0</v>
      </c>
      <c r="AA197" s="9">
        <f>P197*(1-R197)*((1-B197)*Q197-B197*'模型说明与假设'!$B$7-'模型说明与假设'!$B$8)</f>
        <v/>
      </c>
      <c r="AB197" s="6" t="b">
        <v>0</v>
      </c>
      <c r="AC197" s="6" t="n">
        <v>0.1344781139540116</v>
      </c>
      <c r="AD197" s="6" t="inlineStr">
        <is>
          <t>B</t>
        </is>
      </c>
      <c r="AE197" s="6" t="n">
        <v>0</v>
      </c>
      <c r="AF197" s="6" t="n">
        <v>0.1465</v>
      </c>
      <c r="AG197" s="6" t="n">
        <v>0.868159535589987</v>
      </c>
      <c r="AH197" s="6" t="n">
        <v>0</v>
      </c>
    </row>
    <row r="198">
      <c r="A198" s="6" t="inlineStr">
        <is>
          <t>E374</t>
        </is>
      </c>
      <c r="B198" s="6" t="n">
        <v>0.1518386393847727</v>
      </c>
      <c r="C198" s="6" t="inlineStr">
        <is>
          <t>B</t>
        </is>
      </c>
      <c r="D198" s="6" t="n">
        <v>0.5946633647158391</v>
      </c>
      <c r="E198" s="6" t="n">
        <v>0.1386076155156957</v>
      </c>
      <c r="F198" s="6" t="n">
        <v>0.2033491765678152</v>
      </c>
      <c r="G198" s="6" t="n">
        <v>197</v>
      </c>
      <c r="H198" s="6" t="n">
        <v>228</v>
      </c>
      <c r="I198" s="6" t="inlineStr">
        <is>
          <t>***建材经营部</t>
        </is>
      </c>
      <c r="J198" s="6" t="b">
        <v>0</v>
      </c>
      <c r="K198" s="6" t="inlineStr">
        <is>
          <t>中度负面</t>
        </is>
      </c>
      <c r="L198" s="6" t="n">
        <v>0.9</v>
      </c>
      <c r="M198" s="6" t="n">
        <v>1.15</v>
      </c>
      <c r="N198" s="6" t="n">
        <v>0.1347013653836889</v>
      </c>
      <c r="O198" s="6" t="inlineStr">
        <is>
          <t>B</t>
        </is>
      </c>
      <c r="P198" s="6" t="n">
        <v>0</v>
      </c>
      <c r="Q198" s="6" t="n">
        <v>0.15</v>
      </c>
      <c r="R198" s="6" t="n">
        <v>0.885864918999995</v>
      </c>
      <c r="S198" s="6" t="n">
        <v>0.001269298571166939</v>
      </c>
      <c r="T198" s="6" t="inlineStr"/>
      <c r="U198" s="6" t="n">
        <v>0</v>
      </c>
      <c r="V198" s="6" t="n">
        <v>0</v>
      </c>
      <c r="W198" s="6" t="n">
        <v>0</v>
      </c>
      <c r="X198" s="6" t="n">
        <v>0</v>
      </c>
      <c r="Y198" s="6" t="n">
        <v>0</v>
      </c>
      <c r="Z198" s="6" t="n">
        <v>0</v>
      </c>
      <c r="AA198" s="9">
        <f>P198*(1-R198)*((1-B198)*Q198-B198*'模型说明与假设'!$B$7-'模型说明与假设'!$B$8)</f>
        <v/>
      </c>
      <c r="AB198" s="6" t="b">
        <v>0</v>
      </c>
      <c r="AC198" s="6" t="n">
        <v>0.1347013653836889</v>
      </c>
      <c r="AD198" s="6" t="inlineStr">
        <is>
          <t>B</t>
        </is>
      </c>
      <c r="AE198" s="6" t="n">
        <v>0</v>
      </c>
      <c r="AF198" s="6" t="n">
        <v>0.1465</v>
      </c>
      <c r="AG198" s="6" t="n">
        <v>0.868159535589987</v>
      </c>
      <c r="AH198" s="6" t="n">
        <v>0</v>
      </c>
    </row>
    <row r="199">
      <c r="A199" s="6" t="inlineStr">
        <is>
          <t>E295</t>
        </is>
      </c>
      <c r="B199" s="6" t="n">
        <v>0.151842384879996</v>
      </c>
      <c r="C199" s="6" t="inlineStr">
        <is>
          <t>B</t>
        </is>
      </c>
      <c r="D199" s="6" t="n">
        <v>0.6847862498151071</v>
      </c>
      <c r="E199" s="6" t="n">
        <v>0.09616152085745568</v>
      </c>
      <c r="F199" s="6" t="n">
        <v>0.2089061381550423</v>
      </c>
      <c r="G199" s="6" t="n">
        <v>198</v>
      </c>
      <c r="H199" s="6" t="n">
        <v>140</v>
      </c>
      <c r="I199" s="6" t="inlineStr">
        <is>
          <t>***电器设备制造有限公司</t>
        </is>
      </c>
      <c r="J199" s="6" t="b">
        <v>0</v>
      </c>
      <c r="K199" s="6" t="inlineStr">
        <is>
          <t>中度负面</t>
        </is>
      </c>
      <c r="L199" s="6" t="n">
        <v>0.9</v>
      </c>
      <c r="M199" s="6" t="n">
        <v>1.15</v>
      </c>
      <c r="N199" s="6" t="n">
        <v>0.1347047552821777</v>
      </c>
      <c r="O199" s="6" t="inlineStr">
        <is>
          <t>B</t>
        </is>
      </c>
      <c r="P199" s="6" t="n">
        <v>0</v>
      </c>
      <c r="Q199" s="6" t="n">
        <v>0.15</v>
      </c>
      <c r="R199" s="6" t="n">
        <v>0.885864918999995</v>
      </c>
      <c r="S199" s="6" t="n">
        <v>0.001268977951866422</v>
      </c>
      <c r="T199" s="6" t="inlineStr"/>
      <c r="U199" s="6" t="n">
        <v>0</v>
      </c>
      <c r="V199" s="6" t="n">
        <v>0</v>
      </c>
      <c r="W199" s="6" t="n">
        <v>0</v>
      </c>
      <c r="X199" s="6" t="n">
        <v>0</v>
      </c>
      <c r="Y199" s="6" t="n">
        <v>0</v>
      </c>
      <c r="Z199" s="6" t="n">
        <v>0</v>
      </c>
      <c r="AA199" s="9">
        <f>P199*(1-R199)*((1-B199)*Q199-B199*'模型说明与假设'!$B$7-'模型说明与假设'!$B$8)</f>
        <v/>
      </c>
      <c r="AB199" s="6" t="b">
        <v>0</v>
      </c>
      <c r="AC199" s="6" t="n">
        <v>0.1347047552821777</v>
      </c>
      <c r="AD199" s="6" t="inlineStr">
        <is>
          <t>B</t>
        </is>
      </c>
      <c r="AE199" s="6" t="n">
        <v>0</v>
      </c>
      <c r="AF199" s="6" t="n">
        <v>0.1465</v>
      </c>
      <c r="AG199" s="6" t="n">
        <v>0.868159535589987</v>
      </c>
      <c r="AH199" s="6" t="n">
        <v>0</v>
      </c>
    </row>
    <row r="200">
      <c r="A200" s="6" t="inlineStr">
        <is>
          <t>E312</t>
        </is>
      </c>
      <c r="B200" s="6" t="n">
        <v>0.1347323063003059</v>
      </c>
      <c r="C200" s="6" t="inlineStr">
        <is>
          <t>B</t>
        </is>
      </c>
      <c r="D200" s="6" t="n">
        <v>0.5079199792568608</v>
      </c>
      <c r="E200" s="6" t="n">
        <v>0.1761778358442641</v>
      </c>
      <c r="F200" s="6" t="n">
        <v>0.1818489655247497</v>
      </c>
      <c r="G200" s="6" t="n">
        <v>199</v>
      </c>
      <c r="H200" s="6" t="n">
        <v>278</v>
      </c>
      <c r="I200" s="6" t="inlineStr">
        <is>
          <t>***家居用品有限公司</t>
        </is>
      </c>
      <c r="J200" s="6" t="b">
        <v>0</v>
      </c>
      <c r="K200" s="6" t="inlineStr">
        <is>
          <t>其他</t>
        </is>
      </c>
      <c r="L200" s="6" t="n">
        <v>0.3</v>
      </c>
      <c r="M200" s="6" t="n">
        <v>1</v>
      </c>
      <c r="N200" s="6" t="n">
        <v>0.1347323063003059</v>
      </c>
      <c r="O200" s="6" t="inlineStr">
        <is>
          <t>B</t>
        </is>
      </c>
      <c r="P200" s="6" t="n">
        <v>0</v>
      </c>
      <c r="Q200" s="6" t="n">
        <v>0.1465</v>
      </c>
      <c r="R200" s="6" t="n">
        <v>0.868159535589987</v>
      </c>
      <c r="S200" s="6" t="n">
        <v>0.002758410144986069</v>
      </c>
      <c r="T200" s="6" t="inlineStr"/>
      <c r="U200" s="6" t="n">
        <v>0</v>
      </c>
      <c r="V200" s="6" t="n">
        <v>0</v>
      </c>
      <c r="W200" s="6" t="n">
        <v>0</v>
      </c>
      <c r="X200" s="6" t="n">
        <v>0</v>
      </c>
      <c r="Y200" s="6" t="n">
        <v>0</v>
      </c>
      <c r="Z200" s="6" t="n">
        <v>0</v>
      </c>
      <c r="AA200" s="9">
        <f>P200*(1-R200)*((1-B200)*Q200-B200*'模型说明与假设'!$B$7-'模型说明与假设'!$B$8)</f>
        <v/>
      </c>
      <c r="AB200" s="6" t="b">
        <v>0</v>
      </c>
      <c r="AC200" s="6" t="n">
        <v>0.1347323063003059</v>
      </c>
      <c r="AD200" s="6" t="inlineStr">
        <is>
          <t>B</t>
        </is>
      </c>
      <c r="AE200" s="6" t="n">
        <v>0</v>
      </c>
      <c r="AF200" s="6" t="n">
        <v>0.1465</v>
      </c>
      <c r="AG200" s="6" t="n">
        <v>0.868159535589987</v>
      </c>
      <c r="AH200" s="6" t="n">
        <v>0</v>
      </c>
    </row>
    <row r="201">
      <c r="A201" s="6" t="inlineStr">
        <is>
          <t>E358</t>
        </is>
      </c>
      <c r="B201" s="6" t="n">
        <v>0.1347581191082588</v>
      </c>
      <c r="C201" s="6" t="inlineStr">
        <is>
          <t>B</t>
        </is>
      </c>
      <c r="D201" s="6" t="n">
        <v>0.606249039249057</v>
      </c>
      <c r="E201" s="6" t="n">
        <v>0.1314812940450867</v>
      </c>
      <c r="F201" s="6" t="n">
        <v>0.2024386379706521</v>
      </c>
      <c r="G201" s="6" t="n">
        <v>200</v>
      </c>
      <c r="H201" s="6" t="n">
        <v>218</v>
      </c>
      <c r="I201" s="6" t="inlineStr">
        <is>
          <t>***五金经营部</t>
        </is>
      </c>
      <c r="J201" s="6" t="b">
        <v>0</v>
      </c>
      <c r="K201" s="6" t="inlineStr">
        <is>
          <t>其他</t>
        </is>
      </c>
      <c r="L201" s="6" t="n">
        <v>0.3</v>
      </c>
      <c r="M201" s="6" t="n">
        <v>1</v>
      </c>
      <c r="N201" s="6" t="n">
        <v>0.1347581191082588</v>
      </c>
      <c r="O201" s="6" t="inlineStr">
        <is>
          <t>B</t>
        </is>
      </c>
      <c r="P201" s="6" t="n">
        <v>0</v>
      </c>
      <c r="Q201" s="6" t="n">
        <v>0.1465</v>
      </c>
      <c r="R201" s="6" t="n">
        <v>0.868159535589987</v>
      </c>
      <c r="S201" s="6" t="n">
        <v>0.002755869676648945</v>
      </c>
      <c r="T201" s="6" t="inlineStr"/>
      <c r="U201" s="6" t="n">
        <v>0</v>
      </c>
      <c r="V201" s="6" t="n">
        <v>0</v>
      </c>
      <c r="W201" s="6" t="n">
        <v>0</v>
      </c>
      <c r="X201" s="6" t="n">
        <v>0</v>
      </c>
      <c r="Y201" s="6" t="n">
        <v>0</v>
      </c>
      <c r="Z201" s="6" t="n">
        <v>0</v>
      </c>
      <c r="AA201" s="9">
        <f>P201*(1-R201)*((1-B201)*Q201-B201*'模型说明与假设'!$B$7-'模型说明与假设'!$B$8)</f>
        <v/>
      </c>
      <c r="AB201" s="6" t="b">
        <v>0</v>
      </c>
      <c r="AC201" s="6" t="n">
        <v>0.1347581191082588</v>
      </c>
      <c r="AD201" s="6" t="inlineStr">
        <is>
          <t>B</t>
        </is>
      </c>
      <c r="AE201" s="6" t="n">
        <v>0</v>
      </c>
      <c r="AF201" s="6" t="n">
        <v>0.1465</v>
      </c>
      <c r="AG201" s="6" t="n">
        <v>0.868159535589987</v>
      </c>
      <c r="AH201" s="6" t="n">
        <v>0</v>
      </c>
    </row>
    <row r="202">
      <c r="A202" s="6" t="inlineStr">
        <is>
          <t>E210</t>
        </is>
      </c>
      <c r="B202" s="6" t="n">
        <v>0.1522579736643507</v>
      </c>
      <c r="C202" s="6" t="inlineStr">
        <is>
          <t>B</t>
        </is>
      </c>
      <c r="D202" s="6" t="n">
        <v>0.6825610906572536</v>
      </c>
      <c r="E202" s="6" t="n">
        <v>0.100814475911443</v>
      </c>
      <c r="F202" s="6" t="n">
        <v>0.2167725398711471</v>
      </c>
      <c r="G202" s="6" t="n">
        <v>201</v>
      </c>
      <c r="H202" s="6" t="n">
        <v>143</v>
      </c>
      <c r="I202" s="6" t="inlineStr">
        <is>
          <t>***建筑工程有限公司</t>
        </is>
      </c>
      <c r="J202" s="6" t="b">
        <v>0</v>
      </c>
      <c r="K202" s="6" t="inlineStr">
        <is>
          <t>中度负面</t>
        </is>
      </c>
      <c r="L202" s="6" t="n">
        <v>0.9</v>
      </c>
      <c r="M202" s="6" t="n">
        <v>1.15</v>
      </c>
      <c r="N202" s="6" t="n">
        <v>0.135080909121644</v>
      </c>
      <c r="O202" s="6" t="inlineStr">
        <is>
          <t>B</t>
        </is>
      </c>
      <c r="P202" s="6" t="n">
        <v>0</v>
      </c>
      <c r="Q202" s="6" t="n">
        <v>0.15</v>
      </c>
      <c r="R202" s="6" t="n">
        <v>0.885864918999995</v>
      </c>
      <c r="S202" s="6" t="n">
        <v>0.001233403007192655</v>
      </c>
      <c r="T202" s="6" t="inlineStr"/>
      <c r="U202" s="6" t="n">
        <v>0</v>
      </c>
      <c r="V202" s="6" t="n">
        <v>0</v>
      </c>
      <c r="W202" s="6" t="n">
        <v>0</v>
      </c>
      <c r="X202" s="6" t="n">
        <v>0</v>
      </c>
      <c r="Y202" s="6" t="n">
        <v>0</v>
      </c>
      <c r="Z202" s="6" t="n">
        <v>0</v>
      </c>
      <c r="AA202" s="9">
        <f>P202*(1-R202)*((1-B202)*Q202-B202*'模型说明与假设'!$B$7-'模型说明与假设'!$B$8)</f>
        <v/>
      </c>
      <c r="AB202" s="6" t="b">
        <v>0</v>
      </c>
      <c r="AC202" s="6" t="n">
        <v>0.135080909121644</v>
      </c>
      <c r="AD202" s="6" t="inlineStr">
        <is>
          <t>B</t>
        </is>
      </c>
      <c r="AE202" s="6" t="n">
        <v>0</v>
      </c>
      <c r="AF202" s="6" t="n">
        <v>0.1465</v>
      </c>
      <c r="AG202" s="6" t="n">
        <v>0.868159535589987</v>
      </c>
      <c r="AH202" s="6" t="n">
        <v>0</v>
      </c>
    </row>
    <row r="203">
      <c r="A203" s="6" t="inlineStr">
        <is>
          <t>E269</t>
        </is>
      </c>
      <c r="B203" s="6" t="n">
        <v>0.1356520987029065</v>
      </c>
      <c r="C203" s="6" t="inlineStr">
        <is>
          <t>B</t>
        </is>
      </c>
      <c r="D203" s="6" t="n">
        <v>0.6561048885566577</v>
      </c>
      <c r="E203" s="6" t="n">
        <v>0.1135195460668665</v>
      </c>
      <c r="F203" s="6" t="n">
        <v>0.2165797844831379</v>
      </c>
      <c r="G203" s="6" t="n">
        <v>202</v>
      </c>
      <c r="H203" s="6" t="n">
        <v>176</v>
      </c>
      <c r="I203" s="6" t="inlineStr">
        <is>
          <t>***节能服务有限公司</t>
        </is>
      </c>
      <c r="J203" s="6" t="b">
        <v>0</v>
      </c>
      <c r="K203" s="6" t="inlineStr">
        <is>
          <t>其他</t>
        </is>
      </c>
      <c r="L203" s="6" t="n">
        <v>0.3</v>
      </c>
      <c r="M203" s="6" t="n">
        <v>1</v>
      </c>
      <c r="N203" s="6" t="n">
        <v>0.1356520987029065</v>
      </c>
      <c r="O203" s="6" t="inlineStr">
        <is>
          <t>B</t>
        </is>
      </c>
      <c r="P203" s="6" t="n">
        <v>0</v>
      </c>
      <c r="Q203" s="6" t="n">
        <v>0.1465</v>
      </c>
      <c r="R203" s="6" t="n">
        <v>0.868159535589987</v>
      </c>
      <c r="S203" s="6" t="n">
        <v>0.002667885182347634</v>
      </c>
      <c r="T203" s="6" t="inlineStr"/>
      <c r="U203" s="6" t="n">
        <v>0</v>
      </c>
      <c r="V203" s="6" t="n">
        <v>0</v>
      </c>
      <c r="W203" s="6" t="n">
        <v>0</v>
      </c>
      <c r="X203" s="6" t="n">
        <v>0</v>
      </c>
      <c r="Y203" s="6" t="n">
        <v>0</v>
      </c>
      <c r="Z203" s="6" t="n">
        <v>0</v>
      </c>
      <c r="AA203" s="9">
        <f>P203*(1-R203)*((1-B203)*Q203-B203*'模型说明与假设'!$B$7-'模型说明与假设'!$B$8)</f>
        <v/>
      </c>
      <c r="AB203" s="6" t="b">
        <v>0</v>
      </c>
      <c r="AC203" s="6" t="n">
        <v>0.1356520987029065</v>
      </c>
      <c r="AD203" s="6" t="inlineStr">
        <is>
          <t>B</t>
        </is>
      </c>
      <c r="AE203" s="6" t="n">
        <v>0</v>
      </c>
      <c r="AF203" s="6" t="n">
        <v>0.1465</v>
      </c>
      <c r="AG203" s="6" t="n">
        <v>0.868159535589987</v>
      </c>
      <c r="AH203" s="6" t="n">
        <v>0</v>
      </c>
    </row>
    <row r="204">
      <c r="A204" s="6" t="inlineStr">
        <is>
          <t>E288</t>
        </is>
      </c>
      <c r="B204" s="6" t="n">
        <v>0.1366803572355055</v>
      </c>
      <c r="C204" s="6" t="inlineStr">
        <is>
          <t>B</t>
        </is>
      </c>
      <c r="D204" s="6" t="n">
        <v>0.6791583565482102</v>
      </c>
      <c r="E204" s="6" t="n">
        <v>0.09963207594043276</v>
      </c>
      <c r="F204" s="6" t="n">
        <v>0.2109014161229304</v>
      </c>
      <c r="G204" s="6" t="n">
        <v>203</v>
      </c>
      <c r="H204" s="6" t="n">
        <v>148</v>
      </c>
      <c r="I204" s="6" t="inlineStr">
        <is>
          <t xml:space="preserve">个体经营E288 </t>
        </is>
      </c>
      <c r="J204" s="6" t="b">
        <v>0</v>
      </c>
      <c r="K204" s="6" t="inlineStr">
        <is>
          <t>未知</t>
        </is>
      </c>
      <c r="L204" s="6" t="n">
        <v>0</v>
      </c>
      <c r="M204" s="6" t="n">
        <v>1</v>
      </c>
      <c r="N204" s="6" t="n">
        <v>0.1366803572355055</v>
      </c>
      <c r="O204" s="6" t="inlineStr">
        <is>
          <t>B</t>
        </is>
      </c>
      <c r="P204" s="6" t="n">
        <v>0</v>
      </c>
      <c r="Q204" s="6" t="n">
        <v>0.15</v>
      </c>
      <c r="R204" s="6" t="n">
        <v>0.885864918999995</v>
      </c>
      <c r="S204" s="6" t="n">
        <v>0.002566867391862595</v>
      </c>
      <c r="T204" s="6" t="inlineStr"/>
      <c r="U204" s="6" t="n">
        <v>0</v>
      </c>
      <c r="V204" s="6" t="n">
        <v>0</v>
      </c>
      <c r="W204" s="6" t="n">
        <v>0</v>
      </c>
      <c r="X204" s="6" t="n">
        <v>0</v>
      </c>
      <c r="Y204" s="6" t="n">
        <v>0</v>
      </c>
      <c r="Z204" s="6" t="n">
        <v>0</v>
      </c>
      <c r="AA204" s="9">
        <f>P204*(1-R204)*((1-B204)*Q204-B204*'模型说明与假设'!$B$7-'模型说明与假设'!$B$8)</f>
        <v/>
      </c>
      <c r="AB204" s="6" t="b">
        <v>0</v>
      </c>
      <c r="AC204" s="6" t="n">
        <v>0.1366803572355055</v>
      </c>
      <c r="AD204" s="6" t="inlineStr">
        <is>
          <t>B</t>
        </is>
      </c>
      <c r="AE204" s="6" t="n">
        <v>0</v>
      </c>
      <c r="AF204" s="6" t="n">
        <v>0.15</v>
      </c>
      <c r="AG204" s="6" t="n">
        <v>0.885864918999995</v>
      </c>
      <c r="AH204" s="6" t="n">
        <v>0</v>
      </c>
    </row>
    <row r="205">
      <c r="A205" s="6" t="inlineStr">
        <is>
          <t>E317</t>
        </is>
      </c>
      <c r="B205" s="6" t="n">
        <v>0.1273329654991861</v>
      </c>
      <c r="C205" s="6" t="inlineStr">
        <is>
          <t>B</t>
        </is>
      </c>
      <c r="D205" s="6" t="n">
        <v>0.7035232718310852</v>
      </c>
      <c r="E205" s="6" t="n">
        <v>0.09113379360536582</v>
      </c>
      <c r="F205" s="6" t="n">
        <v>0.2162555727311489</v>
      </c>
      <c r="G205" s="6" t="n">
        <v>204</v>
      </c>
      <c r="H205" s="6" t="n">
        <v>108</v>
      </c>
      <c r="I205" s="6" t="inlineStr">
        <is>
          <t>***科技有限公司</t>
        </is>
      </c>
      <c r="J205" s="6" t="b">
        <v>0</v>
      </c>
      <c r="K205" s="6" t="inlineStr">
        <is>
          <t>正面/轻影响</t>
        </is>
      </c>
      <c r="L205" s="6" t="n">
        <v>0.9</v>
      </c>
      <c r="M205" s="6" t="n">
        <v>0.9</v>
      </c>
      <c r="N205" s="6" t="n">
        <v>0.1395073084114468</v>
      </c>
      <c r="O205" s="6" t="inlineStr">
        <is>
          <t>B</t>
        </is>
      </c>
      <c r="P205" s="6" t="n">
        <v>0</v>
      </c>
      <c r="Q205" s="6" t="n">
        <v>0.1425</v>
      </c>
      <c r="R205" s="6" t="n">
        <v>0.8439092945622555</v>
      </c>
      <c r="S205" s="6" t="n">
        <v>0.003583104774325886</v>
      </c>
      <c r="T205" s="6" t="inlineStr"/>
      <c r="U205" s="6" t="n">
        <v>0</v>
      </c>
      <c r="V205" s="6" t="n">
        <v>0</v>
      </c>
      <c r="W205" s="6" t="n">
        <v>0</v>
      </c>
      <c r="X205" s="6" t="n">
        <v>0</v>
      </c>
      <c r="Y205" s="6" t="n">
        <v>0</v>
      </c>
      <c r="Z205" s="6" t="n">
        <v>0</v>
      </c>
      <c r="AA205" s="9">
        <f>P205*(1-R205)*((1-B205)*Q205-B205*'模型说明与假设'!$B$7-'模型说明与假设'!$B$8)</f>
        <v/>
      </c>
      <c r="AB205" s="6" t="b">
        <v>0</v>
      </c>
      <c r="AC205" s="6" t="n">
        <v>0.1395073084114468</v>
      </c>
      <c r="AD205" s="6" t="inlineStr">
        <is>
          <t>B</t>
        </is>
      </c>
      <c r="AE205" s="6" t="n">
        <v>0</v>
      </c>
      <c r="AF205" s="6" t="n">
        <v>0.15</v>
      </c>
      <c r="AG205" s="6" t="n">
        <v>0.885864918999995</v>
      </c>
      <c r="AH205" s="6" t="n">
        <v>0</v>
      </c>
    </row>
    <row r="206">
      <c r="A206" s="6" t="inlineStr">
        <is>
          <t>E219</t>
        </is>
      </c>
      <c r="B206" s="6" t="n">
        <v>0.1395605669282572</v>
      </c>
      <c r="C206" s="6" t="inlineStr">
        <is>
          <t>B</t>
        </is>
      </c>
      <c r="D206" s="6" t="n">
        <v>0.5849851732463058</v>
      </c>
      <c r="E206" s="6" t="n">
        <v>0.1315653636953793</v>
      </c>
      <c r="F206" s="6" t="n">
        <v>0.1854482830808156</v>
      </c>
      <c r="G206" s="6" t="n">
        <v>205</v>
      </c>
      <c r="H206" s="6" t="n">
        <v>234</v>
      </c>
      <c r="I206" s="6" t="inlineStr">
        <is>
          <t>***品牌营销策划有限公司</t>
        </is>
      </c>
      <c r="J206" s="6" t="b">
        <v>0</v>
      </c>
      <c r="K206" s="6" t="inlineStr">
        <is>
          <t>其他</t>
        </is>
      </c>
      <c r="L206" s="6" t="n">
        <v>0.3</v>
      </c>
      <c r="M206" s="6" t="n">
        <v>1</v>
      </c>
      <c r="N206" s="6" t="n">
        <v>0.1395605669282572</v>
      </c>
      <c r="O206" s="6" t="inlineStr">
        <is>
          <t>B</t>
        </is>
      </c>
      <c r="P206" s="6" t="n">
        <v>0</v>
      </c>
      <c r="Q206" s="6" t="n">
        <v>0.15</v>
      </c>
      <c r="R206" s="6" t="n">
        <v>0.885864918999995</v>
      </c>
      <c r="S206" s="6" t="n">
        <v>0.002320317666928188</v>
      </c>
      <c r="T206" s="6" t="inlineStr"/>
      <c r="U206" s="6" t="n">
        <v>0</v>
      </c>
      <c r="V206" s="6" t="n">
        <v>0</v>
      </c>
      <c r="W206" s="6" t="n">
        <v>0</v>
      </c>
      <c r="X206" s="6" t="n">
        <v>0</v>
      </c>
      <c r="Y206" s="6" t="n">
        <v>0</v>
      </c>
      <c r="Z206" s="6" t="n">
        <v>0</v>
      </c>
      <c r="AA206" s="9">
        <f>P206*(1-R206)*((1-B206)*Q206-B206*'模型说明与假设'!$B$7-'模型说明与假设'!$B$8)</f>
        <v/>
      </c>
      <c r="AB206" s="6" t="b">
        <v>0</v>
      </c>
      <c r="AC206" s="6" t="n">
        <v>0.1395605669282572</v>
      </c>
      <c r="AD206" s="6" t="inlineStr">
        <is>
          <t>B</t>
        </is>
      </c>
      <c r="AE206" s="6" t="n">
        <v>0</v>
      </c>
      <c r="AF206" s="6" t="n">
        <v>0.15</v>
      </c>
      <c r="AG206" s="6" t="n">
        <v>0.885864918999995</v>
      </c>
      <c r="AH206" s="6" t="n">
        <v>0</v>
      </c>
    </row>
    <row r="207">
      <c r="A207" s="6" t="inlineStr">
        <is>
          <t>E415</t>
        </is>
      </c>
      <c r="B207" s="6" t="n">
        <v>0.1429953200515635</v>
      </c>
      <c r="C207" s="6" t="inlineStr">
        <is>
          <t>B</t>
        </is>
      </c>
      <c r="D207" s="6" t="n">
        <v>0.5988543912307119</v>
      </c>
      <c r="E207" s="6" t="n">
        <v>0.1380525735605747</v>
      </c>
      <c r="F207" s="6" t="n">
        <v>0.2060932192454815</v>
      </c>
      <c r="G207" s="6" t="n">
        <v>206</v>
      </c>
      <c r="H207" s="6" t="n">
        <v>227</v>
      </c>
      <c r="I207" s="6" t="inlineStr">
        <is>
          <t>***广告设计服务部</t>
        </is>
      </c>
      <c r="J207" s="6" t="b">
        <v>0</v>
      </c>
      <c r="K207" s="6" t="inlineStr">
        <is>
          <t>其他</t>
        </is>
      </c>
      <c r="L207" s="6" t="n">
        <v>0.3</v>
      </c>
      <c r="M207" s="6" t="n">
        <v>1</v>
      </c>
      <c r="N207" s="6" t="n">
        <v>0.1429953200515635</v>
      </c>
      <c r="O207" s="6" t="inlineStr">
        <is>
          <t>B</t>
        </is>
      </c>
      <c r="P207" s="6" t="n">
        <v>0</v>
      </c>
      <c r="Q207" s="6" t="n">
        <v>0.15</v>
      </c>
      <c r="R207" s="6" t="n">
        <v>0.885864918999995</v>
      </c>
      <c r="S207" s="6" t="n">
        <v>0.002026298297470497</v>
      </c>
      <c r="T207" s="6" t="inlineStr"/>
      <c r="U207" s="6" t="n">
        <v>0</v>
      </c>
      <c r="V207" s="6" t="n">
        <v>0</v>
      </c>
      <c r="W207" s="6" t="n">
        <v>0</v>
      </c>
      <c r="X207" s="6" t="n">
        <v>0</v>
      </c>
      <c r="Y207" s="6" t="n">
        <v>0</v>
      </c>
      <c r="Z207" s="6" t="n">
        <v>0</v>
      </c>
      <c r="AA207" s="9">
        <f>P207*(1-R207)*((1-B207)*Q207-B207*'模型说明与假设'!$B$7-'模型说明与假设'!$B$8)</f>
        <v/>
      </c>
      <c r="AB207" s="6" t="b">
        <v>0</v>
      </c>
      <c r="AC207" s="6" t="n">
        <v>0.1429953200515635</v>
      </c>
      <c r="AD207" s="6" t="inlineStr">
        <is>
          <t>B</t>
        </is>
      </c>
      <c r="AE207" s="6" t="n">
        <v>0</v>
      </c>
      <c r="AF207" s="6" t="n">
        <v>0.15</v>
      </c>
      <c r="AG207" s="6" t="n">
        <v>0.885864918999995</v>
      </c>
      <c r="AH207" s="6" t="n">
        <v>0</v>
      </c>
    </row>
    <row r="208">
      <c r="A208" s="6" t="inlineStr">
        <is>
          <t>E286</t>
        </is>
      </c>
      <c r="B208" s="6" t="n">
        <v>0.1438153132678385</v>
      </c>
      <c r="C208" s="6" t="inlineStr">
        <is>
          <t>B</t>
        </is>
      </c>
      <c r="D208" s="6" t="n">
        <v>0.6975666310417845</v>
      </c>
      <c r="E208" s="6" t="n">
        <v>0.09094553449257309</v>
      </c>
      <c r="F208" s="6" t="n">
        <v>0.2097670978662532</v>
      </c>
      <c r="G208" s="6" t="n">
        <v>207</v>
      </c>
      <c r="H208" s="6" t="n">
        <v>117</v>
      </c>
      <c r="I208" s="6" t="inlineStr">
        <is>
          <t>***印务有限公司</t>
        </is>
      </c>
      <c r="J208" s="6" t="b">
        <v>0</v>
      </c>
      <c r="K208" s="6" t="inlineStr">
        <is>
          <t>其他</t>
        </is>
      </c>
      <c r="L208" s="6" t="n">
        <v>0.3</v>
      </c>
      <c r="M208" s="6" t="n">
        <v>1</v>
      </c>
      <c r="N208" s="6" t="n">
        <v>0.1438153132678384</v>
      </c>
      <c r="O208" s="6" t="inlineStr">
        <is>
          <t>B</t>
        </is>
      </c>
      <c r="P208" s="6" t="n">
        <v>0</v>
      </c>
      <c r="Q208" s="6" t="n">
        <v>0.15</v>
      </c>
      <c r="R208" s="6" t="n">
        <v>0.885864918999995</v>
      </c>
      <c r="S208" s="6" t="n">
        <v>0.001956105803351248</v>
      </c>
      <c r="T208" s="6" t="inlineStr"/>
      <c r="U208" s="6" t="n">
        <v>0</v>
      </c>
      <c r="V208" s="6" t="n">
        <v>0</v>
      </c>
      <c r="W208" s="6" t="n">
        <v>0</v>
      </c>
      <c r="X208" s="6" t="n">
        <v>0</v>
      </c>
      <c r="Y208" s="6" t="n">
        <v>0</v>
      </c>
      <c r="Z208" s="6" t="n">
        <v>0</v>
      </c>
      <c r="AA208" s="9">
        <f>P208*(1-R208)*((1-B208)*Q208-B208*'模型说明与假设'!$B$7-'模型说明与假设'!$B$8)</f>
        <v/>
      </c>
      <c r="AB208" s="6" t="b">
        <v>0</v>
      </c>
      <c r="AC208" s="6" t="n">
        <v>0.1438153132678384</v>
      </c>
      <c r="AD208" s="6" t="inlineStr">
        <is>
          <t>B</t>
        </is>
      </c>
      <c r="AE208" s="6" t="n">
        <v>0</v>
      </c>
      <c r="AF208" s="6" t="n">
        <v>0.15</v>
      </c>
      <c r="AG208" s="6" t="n">
        <v>0.885864918999995</v>
      </c>
      <c r="AH208" s="6" t="n">
        <v>0</v>
      </c>
    </row>
    <row r="209">
      <c r="A209" s="6" t="inlineStr">
        <is>
          <t>E231</t>
        </is>
      </c>
      <c r="B209" s="6" t="n">
        <v>0.1663285737743498</v>
      </c>
      <c r="C209" s="6" t="inlineStr">
        <is>
          <t>B</t>
        </is>
      </c>
      <c r="D209" s="6" t="n">
        <v>0.5524122032676893</v>
      </c>
      <c r="E209" s="6" t="n">
        <v>0.1483840700270899</v>
      </c>
      <c r="F209" s="6" t="n">
        <v>0.1831354019299038</v>
      </c>
      <c r="G209" s="6" t="n">
        <v>208</v>
      </c>
      <c r="H209" s="6" t="n">
        <v>261</v>
      </c>
      <c r="I209" s="6" t="inlineStr">
        <is>
          <t>***建筑科技有限公司</t>
        </is>
      </c>
      <c r="J209" s="6" t="b">
        <v>0</v>
      </c>
      <c r="K209" s="6" t="inlineStr">
        <is>
          <t>中度负面</t>
        </is>
      </c>
      <c r="L209" s="6" t="n">
        <v>0.9</v>
      </c>
      <c r="M209" s="6" t="n">
        <v>1.15</v>
      </c>
      <c r="N209" s="6" t="n">
        <v>0.1478409566025393</v>
      </c>
      <c r="O209" s="6" t="inlineStr">
        <is>
          <t>B</t>
        </is>
      </c>
      <c r="P209" s="6" t="n">
        <v>0</v>
      </c>
      <c r="Q209" s="6" t="n">
        <v>0.15</v>
      </c>
      <c r="R209" s="6" t="n">
        <v>0.885864918999995</v>
      </c>
      <c r="S209" s="6" t="n">
        <v>2.894119473758248e-05</v>
      </c>
      <c r="T209" s="6" t="inlineStr"/>
      <c r="U209" s="6" t="n">
        <v>0</v>
      </c>
      <c r="V209" s="6" t="n">
        <v>0</v>
      </c>
      <c r="W209" s="6" t="n">
        <v>0</v>
      </c>
      <c r="X209" s="6" t="n">
        <v>0</v>
      </c>
      <c r="Y209" s="6" t="n">
        <v>0</v>
      </c>
      <c r="Z209" s="6" t="n">
        <v>0</v>
      </c>
      <c r="AA209" s="9">
        <f>P209*(1-R209)*((1-B209)*Q209-B209*'模型说明与假设'!$B$7-'模型说明与假设'!$B$8)</f>
        <v/>
      </c>
      <c r="AB209" s="6" t="b">
        <v>0</v>
      </c>
      <c r="AC209" s="6" t="n">
        <v>0.1478409566025393</v>
      </c>
      <c r="AD209" s="6" t="inlineStr">
        <is>
          <t>B</t>
        </is>
      </c>
      <c r="AE209" s="6" t="n">
        <v>0</v>
      </c>
      <c r="AF209" s="6" t="n">
        <v>0.15</v>
      </c>
      <c r="AG209" s="6" t="n">
        <v>0.885864918999995</v>
      </c>
      <c r="AH209" s="6" t="n">
        <v>0</v>
      </c>
    </row>
    <row r="210">
      <c r="A210" s="6" t="inlineStr">
        <is>
          <t>E332</t>
        </is>
      </c>
      <c r="B210" s="6" t="n">
        <v>0.1670989310007486</v>
      </c>
      <c r="C210" s="6" t="inlineStr">
        <is>
          <t>B</t>
        </is>
      </c>
      <c r="D210" s="6" t="n">
        <v>0.6367359699690363</v>
      </c>
      <c r="E210" s="6" t="n">
        <v>0.1202271217816454</v>
      </c>
      <c r="F210" s="6" t="n">
        <v>0.2107363423725059</v>
      </c>
      <c r="G210" s="6" t="n">
        <v>209</v>
      </c>
      <c r="H210" s="6" t="n">
        <v>191</v>
      </c>
      <c r="I210" s="6" t="inlineStr">
        <is>
          <t>***商贸有限公司</t>
        </is>
      </c>
      <c r="J210" s="6" t="b">
        <v>0</v>
      </c>
      <c r="K210" s="6" t="inlineStr">
        <is>
          <t>中度负面</t>
        </is>
      </c>
      <c r="L210" s="6" t="n">
        <v>0.9</v>
      </c>
      <c r="M210" s="6" t="n">
        <v>1.15</v>
      </c>
      <c r="N210" s="6" t="n">
        <v>0.1485409443054264</v>
      </c>
      <c r="O210" s="6" t="inlineStr">
        <is>
          <t>B</t>
        </is>
      </c>
      <c r="P210" s="6" t="n">
        <v>0</v>
      </c>
      <c r="Q210" s="6" t="n">
        <v>0.15</v>
      </c>
      <c r="R210" s="6" t="n">
        <v>0.885864918999995</v>
      </c>
      <c r="S210" s="6" t="n">
        <v>-3.700239358789117e-05</v>
      </c>
      <c r="T210" s="6" t="inlineStr"/>
      <c r="U210" s="6" t="n">
        <v>0</v>
      </c>
      <c r="V210" s="6" t="n">
        <v>0</v>
      </c>
      <c r="W210" s="6" t="n">
        <v>0</v>
      </c>
      <c r="X210" s="6" t="n">
        <v>0</v>
      </c>
      <c r="Y210" s="6" t="n">
        <v>0</v>
      </c>
      <c r="Z210" s="6" t="n">
        <v>0</v>
      </c>
      <c r="AA210" s="9">
        <f>P210*(1-R210)*((1-B210)*Q210-B210*'模型说明与假设'!$B$7-'模型说明与假设'!$B$8)</f>
        <v/>
      </c>
      <c r="AB210" s="6" t="b">
        <v>0</v>
      </c>
      <c r="AC210" s="6" t="n">
        <v>0.1485409443054264</v>
      </c>
      <c r="AD210" s="6" t="inlineStr">
        <is>
          <t>B</t>
        </is>
      </c>
      <c r="AE210" s="6" t="n">
        <v>0</v>
      </c>
      <c r="AF210" s="6" t="n">
        <v>0.15</v>
      </c>
      <c r="AG210" s="6" t="n">
        <v>0.885864918999995</v>
      </c>
      <c r="AH210" s="6" t="n">
        <v>0</v>
      </c>
    </row>
    <row r="211">
      <c r="A211" s="6" t="inlineStr">
        <is>
          <t>E342</t>
        </is>
      </c>
      <c r="B211" s="6" t="n">
        <v>0.150213099806116</v>
      </c>
      <c r="C211" s="6" t="inlineStr">
        <is>
          <t>B</t>
        </is>
      </c>
      <c r="D211" s="6" t="n">
        <v>0.6615128612715314</v>
      </c>
      <c r="E211" s="6" t="n">
        <v>0.1075584283121531</v>
      </c>
      <c r="F211" s="6" t="n">
        <v>0.2102038025253249</v>
      </c>
      <c r="G211" s="6" t="n">
        <v>210</v>
      </c>
      <c r="H211" s="6" t="n">
        <v>167</v>
      </c>
      <c r="I211" s="6" t="inlineStr">
        <is>
          <t>***裕华机械厂</t>
        </is>
      </c>
      <c r="J211" s="6" t="b">
        <v>0</v>
      </c>
      <c r="K211" s="6" t="inlineStr">
        <is>
          <t>其他</t>
        </is>
      </c>
      <c r="L211" s="6" t="n">
        <v>0.3</v>
      </c>
      <c r="M211" s="6" t="n">
        <v>1</v>
      </c>
      <c r="N211" s="6" t="n">
        <v>0.150213099806116</v>
      </c>
      <c r="O211" s="6" t="inlineStr">
        <is>
          <t>B</t>
        </is>
      </c>
      <c r="P211" s="6" t="n">
        <v>0</v>
      </c>
      <c r="Q211" s="6" t="n">
        <v>0.15</v>
      </c>
      <c r="R211" s="6" t="n">
        <v>0.885864918999995</v>
      </c>
      <c r="S211" s="6" t="n">
        <v>0.001408446889775965</v>
      </c>
      <c r="T211" s="6" t="inlineStr"/>
      <c r="U211" s="6" t="n">
        <v>0</v>
      </c>
      <c r="V211" s="6" t="n">
        <v>0</v>
      </c>
      <c r="W211" s="6" t="n">
        <v>0</v>
      </c>
      <c r="X211" s="6" t="n">
        <v>0</v>
      </c>
      <c r="Y211" s="6" t="n">
        <v>0</v>
      </c>
      <c r="Z211" s="6" t="n">
        <v>0</v>
      </c>
      <c r="AA211" s="9">
        <f>P211*(1-R211)*((1-B211)*Q211-B211*'模型说明与假设'!$B$7-'模型说明与假设'!$B$8)</f>
        <v/>
      </c>
      <c r="AB211" s="6" t="b">
        <v>0</v>
      </c>
      <c r="AC211" s="6" t="n">
        <v>0.150213099806116</v>
      </c>
      <c r="AD211" s="6" t="inlineStr">
        <is>
          <t>B</t>
        </is>
      </c>
      <c r="AE211" s="6" t="n">
        <v>0</v>
      </c>
      <c r="AF211" s="6" t="n">
        <v>0.15</v>
      </c>
      <c r="AG211" s="6" t="n">
        <v>0.885864918999995</v>
      </c>
      <c r="AH211" s="6" t="n">
        <v>0</v>
      </c>
    </row>
    <row r="212">
      <c r="A212" s="6" t="inlineStr">
        <is>
          <t>E344</t>
        </is>
      </c>
      <c r="B212" s="6" t="n">
        <v>0.1511735545383836</v>
      </c>
      <c r="C212" s="6" t="inlineStr">
        <is>
          <t>B</t>
        </is>
      </c>
      <c r="D212" s="6" t="n">
        <v>0.6285771860745221</v>
      </c>
      <c r="E212" s="6" t="n">
        <v>0.1156170710096509</v>
      </c>
      <c r="F212" s="6" t="n">
        <v>0.1956644837977182</v>
      </c>
      <c r="G212" s="6" t="n">
        <v>211</v>
      </c>
      <c r="H212" s="6" t="n">
        <v>196</v>
      </c>
      <c r="I212" s="6" t="inlineStr">
        <is>
          <t>***机械有限公司</t>
        </is>
      </c>
      <c r="J212" s="6" t="b">
        <v>0</v>
      </c>
      <c r="K212" s="6" t="inlineStr">
        <is>
          <t>其他</t>
        </is>
      </c>
      <c r="L212" s="6" t="n">
        <v>0.3</v>
      </c>
      <c r="M212" s="6" t="n">
        <v>1</v>
      </c>
      <c r="N212" s="6" t="n">
        <v>0.1511735545383836</v>
      </c>
      <c r="O212" s="6" t="inlineStr">
        <is>
          <t>B</t>
        </is>
      </c>
      <c r="P212" s="6" t="n">
        <v>0</v>
      </c>
      <c r="Q212" s="6" t="n">
        <v>0.15</v>
      </c>
      <c r="R212" s="6" t="n">
        <v>0.885864918999995</v>
      </c>
      <c r="S212" s="6" t="n">
        <v>0.001326230705777807</v>
      </c>
      <c r="T212" s="6" t="inlineStr"/>
      <c r="U212" s="6" t="n">
        <v>0</v>
      </c>
      <c r="V212" s="6" t="n">
        <v>0</v>
      </c>
      <c r="W212" s="6" t="n">
        <v>0</v>
      </c>
      <c r="X212" s="6" t="n">
        <v>0</v>
      </c>
      <c r="Y212" s="6" t="n">
        <v>0</v>
      </c>
      <c r="Z212" s="6" t="n">
        <v>0</v>
      </c>
      <c r="AA212" s="9">
        <f>P212*(1-R212)*((1-B212)*Q212-B212*'模型说明与假设'!$B$7-'模型说明与假设'!$B$8)</f>
        <v/>
      </c>
      <c r="AB212" s="6" t="b">
        <v>0</v>
      </c>
      <c r="AC212" s="6" t="n">
        <v>0.1511735545383836</v>
      </c>
      <c r="AD212" s="6" t="inlineStr">
        <is>
          <t>B</t>
        </is>
      </c>
      <c r="AE212" s="6" t="n">
        <v>0</v>
      </c>
      <c r="AF212" s="6" t="n">
        <v>0.15</v>
      </c>
      <c r="AG212" s="6" t="n">
        <v>0.885864918999995</v>
      </c>
      <c r="AH212" s="6" t="n">
        <v>0</v>
      </c>
    </row>
    <row r="213">
      <c r="A213" s="6" t="inlineStr">
        <is>
          <t>E300</t>
        </is>
      </c>
      <c r="B213" s="6" t="n">
        <v>0.1730899421709993</v>
      </c>
      <c r="C213" s="6" t="inlineStr">
        <is>
          <t>B</t>
        </is>
      </c>
      <c r="D213" s="6" t="n">
        <v>0.6965213787098747</v>
      </c>
      <c r="E213" s="6" t="n">
        <v>0.09265907595697458</v>
      </c>
      <c r="F213" s="6" t="n">
        <v>0.2126641641548638</v>
      </c>
      <c r="G213" s="6" t="n">
        <v>212</v>
      </c>
      <c r="H213" s="6" t="n">
        <v>118</v>
      </c>
      <c r="I213" s="6" t="inlineStr">
        <is>
          <t>***建设工程有限公司</t>
        </is>
      </c>
      <c r="J213" s="6" t="b">
        <v>0</v>
      </c>
      <c r="K213" s="6" t="inlineStr">
        <is>
          <t>中度负面</t>
        </is>
      </c>
      <c r="L213" s="6" t="n">
        <v>0.9</v>
      </c>
      <c r="M213" s="6" t="n">
        <v>1.15</v>
      </c>
      <c r="N213" s="6" t="n">
        <v>0.1539896087317801</v>
      </c>
      <c r="O213" s="6" t="inlineStr">
        <is>
          <t>B</t>
        </is>
      </c>
      <c r="P213" s="6" t="n">
        <v>0</v>
      </c>
      <c r="Q213" s="6" t="n">
        <v>0.15</v>
      </c>
      <c r="R213" s="6" t="n">
        <v>0.885864918999995</v>
      </c>
      <c r="S213" s="6" t="n">
        <v>-0.0005498408024792645</v>
      </c>
      <c r="T213" s="6" t="inlineStr"/>
      <c r="U213" s="6" t="n">
        <v>0</v>
      </c>
      <c r="V213" s="6" t="n">
        <v>0</v>
      </c>
      <c r="W213" s="6" t="n">
        <v>0</v>
      </c>
      <c r="X213" s="6" t="n">
        <v>0</v>
      </c>
      <c r="Y213" s="6" t="n">
        <v>0</v>
      </c>
      <c r="Z213" s="6" t="n">
        <v>0</v>
      </c>
      <c r="AA213" s="9">
        <f>P213*(1-R213)*((1-B213)*Q213-B213*'模型说明与假设'!$B$7-'模型说明与假设'!$B$8)</f>
        <v/>
      </c>
      <c r="AB213" s="6" t="b">
        <v>0</v>
      </c>
      <c r="AC213" s="6" t="n">
        <v>0.1539896087317801</v>
      </c>
      <c r="AD213" s="6" t="inlineStr">
        <is>
          <t>B</t>
        </is>
      </c>
      <c r="AE213" s="6" t="n">
        <v>0</v>
      </c>
      <c r="AF213" s="6" t="n">
        <v>0.15</v>
      </c>
      <c r="AG213" s="6" t="n">
        <v>0.885864918999995</v>
      </c>
      <c r="AH213" s="6" t="n">
        <v>0</v>
      </c>
    </row>
    <row r="214">
      <c r="A214" s="6" t="inlineStr">
        <is>
          <t>E340</t>
        </is>
      </c>
      <c r="B214" s="6" t="n">
        <v>0.1745793318480182</v>
      </c>
      <c r="C214" s="6" t="inlineStr">
        <is>
          <t>B</t>
        </is>
      </c>
      <c r="D214" s="6" t="n">
        <v>0.6031897312101097</v>
      </c>
      <c r="E214" s="6" t="n">
        <v>0.1299450053799598</v>
      </c>
      <c r="F214" s="6" t="n">
        <v>0.1975288923501547</v>
      </c>
      <c r="G214" s="6" t="n">
        <v>213</v>
      </c>
      <c r="H214" s="6" t="n">
        <v>219</v>
      </c>
      <c r="I214" s="6" t="inlineStr">
        <is>
          <t>***物流有限公司</t>
        </is>
      </c>
      <c r="J214" s="6" t="b">
        <v>0</v>
      </c>
      <c r="K214" s="6" t="inlineStr">
        <is>
          <t>中度负面</t>
        </is>
      </c>
      <c r="L214" s="6" t="n">
        <v>0.9</v>
      </c>
      <c r="M214" s="6" t="n">
        <v>1.15</v>
      </c>
      <c r="N214" s="6" t="n">
        <v>0.155345521255632</v>
      </c>
      <c r="O214" s="6" t="inlineStr">
        <is>
          <t>B</t>
        </is>
      </c>
      <c r="P214" s="6" t="n">
        <v>0</v>
      </c>
      <c r="Q214" s="6" t="n">
        <v>0.15</v>
      </c>
      <c r="R214" s="6" t="n">
        <v>0.885864918999995</v>
      </c>
      <c r="S214" s="6" t="n">
        <v>-0.0006773345110496112</v>
      </c>
      <c r="T214" s="6" t="inlineStr"/>
      <c r="U214" s="6" t="n">
        <v>0</v>
      </c>
      <c r="V214" s="6" t="n">
        <v>0</v>
      </c>
      <c r="W214" s="6" t="n">
        <v>0</v>
      </c>
      <c r="X214" s="6" t="n">
        <v>0</v>
      </c>
      <c r="Y214" s="6" t="n">
        <v>0</v>
      </c>
      <c r="Z214" s="6" t="n">
        <v>0</v>
      </c>
      <c r="AA214" s="9">
        <f>P214*(1-R214)*((1-B214)*Q214-B214*'模型说明与假设'!$B$7-'模型说明与假设'!$B$8)</f>
        <v/>
      </c>
      <c r="AB214" s="6" t="b">
        <v>0</v>
      </c>
      <c r="AC214" s="6" t="n">
        <v>0.155345521255632</v>
      </c>
      <c r="AD214" s="6" t="inlineStr">
        <is>
          <t>B</t>
        </is>
      </c>
      <c r="AE214" s="6" t="n">
        <v>0</v>
      </c>
      <c r="AF214" s="6" t="n">
        <v>0.15</v>
      </c>
      <c r="AG214" s="6" t="n">
        <v>0.885864918999995</v>
      </c>
      <c r="AH214" s="6" t="n">
        <v>0</v>
      </c>
    </row>
    <row r="215">
      <c r="A215" s="6" t="inlineStr">
        <is>
          <t>E237</t>
        </is>
      </c>
      <c r="B215" s="6" t="n">
        <v>0.1570505532835418</v>
      </c>
      <c r="C215" s="6" t="inlineStr">
        <is>
          <t>B</t>
        </is>
      </c>
      <c r="D215" s="6" t="n">
        <v>0.6592255995115751</v>
      </c>
      <c r="E215" s="6" t="n">
        <v>0.1066967770735705</v>
      </c>
      <c r="F215" s="6" t="n">
        <v>0.2064041393117103</v>
      </c>
      <c r="G215" s="6" t="n">
        <v>214</v>
      </c>
      <c r="H215" s="6" t="n">
        <v>172</v>
      </c>
      <c r="I215" s="6" t="inlineStr">
        <is>
          <t xml:space="preserve">个体经营E237 </t>
        </is>
      </c>
      <c r="J215" s="6" t="b">
        <v>0</v>
      </c>
      <c r="K215" s="6" t="inlineStr">
        <is>
          <t>未知</t>
        </is>
      </c>
      <c r="L215" s="6" t="n">
        <v>0</v>
      </c>
      <c r="M215" s="6" t="n">
        <v>1</v>
      </c>
      <c r="N215" s="6" t="n">
        <v>0.1570505532835418</v>
      </c>
      <c r="O215" s="6" t="inlineStr">
        <is>
          <t>B</t>
        </is>
      </c>
      <c r="P215" s="6" t="n">
        <v>0</v>
      </c>
      <c r="Q215" s="6" t="n">
        <v>0.15</v>
      </c>
      <c r="R215" s="6" t="n">
        <v>0.885864918999995</v>
      </c>
      <c r="S215" s="6" t="n">
        <v>0.0008231519099161377</v>
      </c>
      <c r="T215" s="6" t="inlineStr"/>
      <c r="U215" s="6" t="n">
        <v>0</v>
      </c>
      <c r="V215" s="6" t="n">
        <v>0</v>
      </c>
      <c r="W215" s="6" t="n">
        <v>0</v>
      </c>
      <c r="X215" s="6" t="n">
        <v>0</v>
      </c>
      <c r="Y215" s="6" t="n">
        <v>0</v>
      </c>
      <c r="Z215" s="6" t="n">
        <v>0</v>
      </c>
      <c r="AA215" s="9">
        <f>P215*(1-R215)*((1-B215)*Q215-B215*'模型说明与假设'!$B$7-'模型说明与假设'!$B$8)</f>
        <v/>
      </c>
      <c r="AB215" s="6" t="b">
        <v>0</v>
      </c>
      <c r="AC215" s="6" t="n">
        <v>0.1570505532835418</v>
      </c>
      <c r="AD215" s="6" t="inlineStr">
        <is>
          <t>B</t>
        </is>
      </c>
      <c r="AE215" s="6" t="n">
        <v>0</v>
      </c>
      <c r="AF215" s="6" t="n">
        <v>0.15</v>
      </c>
      <c r="AG215" s="6" t="n">
        <v>0.885864918999995</v>
      </c>
      <c r="AH215" s="6" t="n">
        <v>0</v>
      </c>
    </row>
    <row r="216">
      <c r="A216" s="6" t="inlineStr">
        <is>
          <t>E251</t>
        </is>
      </c>
      <c r="B216" s="6" t="n">
        <v>0.1439704252875904</v>
      </c>
      <c r="C216" s="6" t="inlineStr">
        <is>
          <t>B</t>
        </is>
      </c>
      <c r="D216" s="6" t="n">
        <v>0.6890770280634728</v>
      </c>
      <c r="E216" s="6" t="n">
        <v>0.09176335959131472</v>
      </c>
      <c r="F216" s="6" t="n">
        <v>0.203368772395535</v>
      </c>
      <c r="G216" s="6" t="n">
        <v>215</v>
      </c>
      <c r="H216" s="6" t="n">
        <v>131</v>
      </c>
      <c r="I216" s="6" t="inlineStr">
        <is>
          <t>***医疗器械有限责任公司</t>
        </is>
      </c>
      <c r="J216" s="6" t="b">
        <v>0</v>
      </c>
      <c r="K216" s="6" t="inlineStr">
        <is>
          <t>正面/轻影响</t>
        </is>
      </c>
      <c r="L216" s="6" t="n">
        <v>0.9</v>
      </c>
      <c r="M216" s="6" t="n">
        <v>0.9</v>
      </c>
      <c r="N216" s="6" t="n">
        <v>0.1574484809021704</v>
      </c>
      <c r="O216" s="6" t="inlineStr">
        <is>
          <t>B</t>
        </is>
      </c>
      <c r="P216" s="6" t="n">
        <v>0</v>
      </c>
      <c r="Q216" s="6" t="n">
        <v>0.15</v>
      </c>
      <c r="R216" s="6" t="n">
        <v>0.885864918999995</v>
      </c>
      <c r="S216" s="6" t="n">
        <v>0.0019428280111474</v>
      </c>
      <c r="T216" s="6" t="inlineStr"/>
      <c r="U216" s="6" t="n">
        <v>0</v>
      </c>
      <c r="V216" s="6" t="n">
        <v>0</v>
      </c>
      <c r="W216" s="6" t="n">
        <v>0</v>
      </c>
      <c r="X216" s="6" t="n">
        <v>0</v>
      </c>
      <c r="Y216" s="6" t="n">
        <v>0</v>
      </c>
      <c r="Z216" s="6" t="n">
        <v>0</v>
      </c>
      <c r="AA216" s="9">
        <f>P216*(1-R216)*((1-B216)*Q216-B216*'模型说明与假设'!$B$7-'模型说明与假设'!$B$8)</f>
        <v/>
      </c>
      <c r="AB216" s="6" t="b">
        <v>0</v>
      </c>
      <c r="AC216" s="6" t="n">
        <v>0.1574484809021704</v>
      </c>
      <c r="AD216" s="6" t="inlineStr">
        <is>
          <t>B</t>
        </is>
      </c>
      <c r="AE216" s="6" t="n">
        <v>0</v>
      </c>
      <c r="AF216" s="6" t="n">
        <v>0.15</v>
      </c>
      <c r="AG216" s="6" t="n">
        <v>0.885864918999995</v>
      </c>
      <c r="AH216" s="6" t="n">
        <v>0</v>
      </c>
    </row>
    <row r="217">
      <c r="A217" s="6" t="inlineStr">
        <is>
          <t>E268</t>
        </is>
      </c>
      <c r="B217" s="6" t="n">
        <v>0.1812402278072597</v>
      </c>
      <c r="C217" s="6" t="inlineStr">
        <is>
          <t>B</t>
        </is>
      </c>
      <c r="D217" s="6" t="n">
        <v>0.6169967082680696</v>
      </c>
      <c r="E217" s="6" t="n">
        <v>0.1237963722008168</v>
      </c>
      <c r="F217" s="6" t="n">
        <v>0.199428975657195</v>
      </c>
      <c r="G217" s="6" t="n">
        <v>216</v>
      </c>
      <c r="H217" s="6" t="n">
        <v>209</v>
      </c>
      <c r="I217" s="6" t="inlineStr">
        <is>
          <t>***建筑劳务有限公司</t>
        </is>
      </c>
      <c r="J217" s="6" t="b">
        <v>0</v>
      </c>
      <c r="K217" s="6" t="inlineStr">
        <is>
          <t>中度负面</t>
        </is>
      </c>
      <c r="L217" s="6" t="n">
        <v>0.9</v>
      </c>
      <c r="M217" s="6" t="n">
        <v>1.15</v>
      </c>
      <c r="N217" s="6" t="n">
        <v>0.161416078997076</v>
      </c>
      <c r="O217" s="6" t="inlineStr">
        <is>
          <t>B</t>
        </is>
      </c>
      <c r="P217" s="6" t="n">
        <v>0</v>
      </c>
      <c r="Q217" s="6" t="n">
        <v>0.15</v>
      </c>
      <c r="R217" s="6" t="n">
        <v>0.885864918999995</v>
      </c>
      <c r="S217" s="6" t="n">
        <v>-0.001247515935930079</v>
      </c>
      <c r="T217" s="6" t="inlineStr"/>
      <c r="U217" s="6" t="n">
        <v>0</v>
      </c>
      <c r="V217" s="6" t="n">
        <v>0</v>
      </c>
      <c r="W217" s="6" t="n">
        <v>0</v>
      </c>
      <c r="X217" s="6" t="n">
        <v>0</v>
      </c>
      <c r="Y217" s="6" t="n">
        <v>0</v>
      </c>
      <c r="Z217" s="6" t="n">
        <v>0</v>
      </c>
      <c r="AA217" s="9">
        <f>P217*(1-R217)*((1-B217)*Q217-B217*'模型说明与假设'!$B$7-'模型说明与假设'!$B$8)</f>
        <v/>
      </c>
      <c r="AB217" s="6" t="b">
        <v>0</v>
      </c>
      <c r="AC217" s="6" t="n">
        <v>0.161416078997076</v>
      </c>
      <c r="AD217" s="6" t="inlineStr">
        <is>
          <t>B</t>
        </is>
      </c>
      <c r="AE217" s="6" t="n">
        <v>0</v>
      </c>
      <c r="AF217" s="6" t="n">
        <v>0.15</v>
      </c>
      <c r="AG217" s="6" t="n">
        <v>0.885864918999995</v>
      </c>
      <c r="AH217" s="6" t="n">
        <v>0</v>
      </c>
    </row>
    <row r="218">
      <c r="A218" s="6" t="inlineStr">
        <is>
          <t>E392</t>
        </is>
      </c>
      <c r="B218" s="6" t="n">
        <v>0.150298712131672</v>
      </c>
      <c r="C218" s="6" t="inlineStr">
        <is>
          <t>B</t>
        </is>
      </c>
      <c r="D218" s="6" t="n">
        <v>0.6527059367373637</v>
      </c>
      <c r="E218" s="6" t="n">
        <v>0.1125354990454035</v>
      </c>
      <c r="F218" s="6" t="n">
        <v>0.2114996946120823</v>
      </c>
      <c r="G218" s="6" t="n">
        <v>217</v>
      </c>
      <c r="H218" s="6" t="n">
        <v>179</v>
      </c>
      <c r="I218" s="6" t="inlineStr">
        <is>
          <t>***科技有限公司</t>
        </is>
      </c>
      <c r="J218" s="6" t="b">
        <v>0</v>
      </c>
      <c r="K218" s="6" t="inlineStr">
        <is>
          <t>正面/轻影响</t>
        </is>
      </c>
      <c r="L218" s="6" t="n">
        <v>0.9</v>
      </c>
      <c r="M218" s="6" t="n">
        <v>0.9</v>
      </c>
      <c r="N218" s="6" t="n">
        <v>0.1642555252676096</v>
      </c>
      <c r="O218" s="6" t="inlineStr">
        <is>
          <t>B</t>
        </is>
      </c>
      <c r="P218" s="6" t="n">
        <v>0</v>
      </c>
      <c r="Q218" s="6" t="n">
        <v>0.15</v>
      </c>
      <c r="R218" s="6" t="n">
        <v>0.885864918999995</v>
      </c>
      <c r="S218" s="6" t="n">
        <v>0.001401118362492015</v>
      </c>
      <c r="T218" s="6" t="inlineStr"/>
      <c r="U218" s="6" t="n">
        <v>0</v>
      </c>
      <c r="V218" s="6" t="n">
        <v>0</v>
      </c>
      <c r="W218" s="6" t="n">
        <v>0</v>
      </c>
      <c r="X218" s="6" t="n">
        <v>0</v>
      </c>
      <c r="Y218" s="6" t="n">
        <v>0</v>
      </c>
      <c r="Z218" s="6" t="n">
        <v>0</v>
      </c>
      <c r="AA218" s="9">
        <f>P218*(1-R218)*((1-B218)*Q218-B218*'模型说明与假设'!$B$7-'模型说明与假设'!$B$8)</f>
        <v/>
      </c>
      <c r="AB218" s="6" t="b">
        <v>0</v>
      </c>
      <c r="AC218" s="6" t="n">
        <v>0.1642555252676096</v>
      </c>
      <c r="AD218" s="6" t="inlineStr">
        <is>
          <t>B</t>
        </is>
      </c>
      <c r="AE218" s="6" t="n">
        <v>0</v>
      </c>
      <c r="AF218" s="6" t="n">
        <v>0.15</v>
      </c>
      <c r="AG218" s="6" t="n">
        <v>0.885864918999995</v>
      </c>
      <c r="AH218" s="6" t="n">
        <v>0</v>
      </c>
    </row>
    <row r="219">
      <c r="A219" s="6" t="inlineStr">
        <is>
          <t>E338</t>
        </is>
      </c>
      <c r="B219" s="6" t="n">
        <v>0.1863208549117265</v>
      </c>
      <c r="C219" s="6" t="inlineStr">
        <is>
          <t>B</t>
        </is>
      </c>
      <c r="D219" s="6" t="n">
        <v>0.6588653740597915</v>
      </c>
      <c r="E219" s="6" t="n">
        <v>0.1098894306362838</v>
      </c>
      <c r="F219" s="6" t="n">
        <v>0.2122397883880682</v>
      </c>
      <c r="G219" s="6" t="n">
        <v>218</v>
      </c>
      <c r="H219" s="6" t="n">
        <v>173</v>
      </c>
      <c r="I219" s="6" t="inlineStr">
        <is>
          <t>***商贸有限公司</t>
        </is>
      </c>
      <c r="J219" s="6" t="b">
        <v>0</v>
      </c>
      <c r="K219" s="6" t="inlineStr">
        <is>
          <t>中度负面</t>
        </is>
      </c>
      <c r="L219" s="6" t="n">
        <v>0.9</v>
      </c>
      <c r="M219" s="6" t="n">
        <v>1.15</v>
      </c>
      <c r="N219" s="6" t="n">
        <v>0.1660536910998008</v>
      </c>
      <c r="O219" s="6" t="inlineStr">
        <is>
          <t>B</t>
        </is>
      </c>
      <c r="P219" s="6" t="n">
        <v>0</v>
      </c>
      <c r="Q219" s="6" t="n">
        <v>0.15</v>
      </c>
      <c r="R219" s="6" t="n">
        <v>0.885864918999995</v>
      </c>
      <c r="S219" s="6" t="n">
        <v>-0.001682424275504443</v>
      </c>
      <c r="T219" s="6" t="inlineStr"/>
      <c r="U219" s="6" t="n">
        <v>0</v>
      </c>
      <c r="V219" s="6" t="n">
        <v>0</v>
      </c>
      <c r="W219" s="6" t="n">
        <v>0</v>
      </c>
      <c r="X219" s="6" t="n">
        <v>0</v>
      </c>
      <c r="Y219" s="6" t="n">
        <v>0</v>
      </c>
      <c r="Z219" s="6" t="n">
        <v>0</v>
      </c>
      <c r="AA219" s="9">
        <f>P219*(1-R219)*((1-B219)*Q219-B219*'模型说明与假设'!$B$7-'模型说明与假设'!$B$8)</f>
        <v/>
      </c>
      <c r="AB219" s="6" t="b">
        <v>0</v>
      </c>
      <c r="AC219" s="6" t="n">
        <v>0.1660536910998008</v>
      </c>
      <c r="AD219" s="6" t="inlineStr">
        <is>
          <t>B</t>
        </is>
      </c>
      <c r="AE219" s="6" t="n">
        <v>0</v>
      </c>
      <c r="AF219" s="6" t="n">
        <v>0.15</v>
      </c>
      <c r="AG219" s="6" t="n">
        <v>0.885864918999995</v>
      </c>
      <c r="AH219" s="6" t="n">
        <v>0</v>
      </c>
    </row>
    <row r="220">
      <c r="A220" s="6" t="inlineStr">
        <is>
          <t>E354</t>
        </is>
      </c>
      <c r="B220" s="6" t="n">
        <v>0.1666343222922544</v>
      </c>
      <c r="C220" s="6" t="inlineStr">
        <is>
          <t>B</t>
        </is>
      </c>
      <c r="D220" s="6" t="n">
        <v>0.639869483041777</v>
      </c>
      <c r="E220" s="6" t="n">
        <v>0.1160774438129625</v>
      </c>
      <c r="F220" s="6" t="n">
        <v>0.2062430437519059</v>
      </c>
      <c r="G220" s="6" t="n">
        <v>219</v>
      </c>
      <c r="H220" s="6" t="n">
        <v>189</v>
      </c>
      <c r="I220" s="6" t="inlineStr">
        <is>
          <t>***广告有限公司</t>
        </is>
      </c>
      <c r="J220" s="6" t="b">
        <v>0</v>
      </c>
      <c r="K220" s="6" t="inlineStr">
        <is>
          <t>其他</t>
        </is>
      </c>
      <c r="L220" s="6" t="n">
        <v>0.3</v>
      </c>
      <c r="M220" s="6" t="n">
        <v>1</v>
      </c>
      <c r="N220" s="6" t="n">
        <v>0.1666343222922544</v>
      </c>
      <c r="O220" s="6" t="inlineStr">
        <is>
          <t>B</t>
        </is>
      </c>
      <c r="P220" s="6" t="n">
        <v>0</v>
      </c>
      <c r="Q220" s="6" t="n">
        <v>0.15</v>
      </c>
      <c r="R220" s="6" t="n">
        <v>0.885864918999995</v>
      </c>
      <c r="S220" s="6" t="n">
        <v>2.768720845079081e-06</v>
      </c>
      <c r="T220" s="6" t="inlineStr"/>
      <c r="U220" s="6" t="n">
        <v>0</v>
      </c>
      <c r="V220" s="6" t="n">
        <v>0</v>
      </c>
      <c r="W220" s="6" t="n">
        <v>0</v>
      </c>
      <c r="X220" s="6" t="n">
        <v>0</v>
      </c>
      <c r="Y220" s="6" t="n">
        <v>0</v>
      </c>
      <c r="Z220" s="6" t="n">
        <v>0</v>
      </c>
      <c r="AA220" s="9">
        <f>P220*(1-R220)*((1-B220)*Q220-B220*'模型说明与假设'!$B$7-'模型说明与假设'!$B$8)</f>
        <v/>
      </c>
      <c r="AB220" s="6" t="b">
        <v>0</v>
      </c>
      <c r="AC220" s="6" t="n">
        <v>0.1666343222922544</v>
      </c>
      <c r="AD220" s="6" t="inlineStr">
        <is>
          <t>B</t>
        </is>
      </c>
      <c r="AE220" s="6" t="n">
        <v>0</v>
      </c>
      <c r="AF220" s="6" t="n">
        <v>0.15</v>
      </c>
      <c r="AG220" s="6" t="n">
        <v>0.885864918999995</v>
      </c>
      <c r="AH220" s="6" t="n">
        <v>0</v>
      </c>
    </row>
    <row r="221">
      <c r="A221" s="6" t="inlineStr">
        <is>
          <t>E410</t>
        </is>
      </c>
      <c r="B221" s="6" t="n">
        <v>0.1543683223779047</v>
      </c>
      <c r="C221" s="6" t="inlineStr">
        <is>
          <t>B</t>
        </is>
      </c>
      <c r="D221" s="6" t="n">
        <v>0.6002891066947231</v>
      </c>
      <c r="E221" s="6" t="n">
        <v>0.1324825050720952</v>
      </c>
      <c r="F221" s="6" t="n">
        <v>0.1989633156223948</v>
      </c>
      <c r="G221" s="6" t="n">
        <v>220</v>
      </c>
      <c r="H221" s="6" t="n">
        <v>223</v>
      </c>
      <c r="I221" s="6" t="inlineStr">
        <is>
          <t>***网络科技有限公司</t>
        </is>
      </c>
      <c r="J221" s="6" t="b">
        <v>0</v>
      </c>
      <c r="K221" s="6" t="inlineStr">
        <is>
          <t>正面/轻影响</t>
        </is>
      </c>
      <c r="L221" s="6" t="n">
        <v>0.9</v>
      </c>
      <c r="M221" s="6" t="n">
        <v>0.9</v>
      </c>
      <c r="N221" s="6" t="n">
        <v>0.1686280439476642</v>
      </c>
      <c r="O221" s="6" t="inlineStr">
        <is>
          <t>B</t>
        </is>
      </c>
      <c r="P221" s="6" t="n">
        <v>0</v>
      </c>
      <c r="Q221" s="6" t="n">
        <v>0.15</v>
      </c>
      <c r="R221" s="6" t="n">
        <v>0.885864918999995</v>
      </c>
      <c r="S221" s="6" t="n">
        <v>0.00105275439117285</v>
      </c>
      <c r="T221" s="6" t="inlineStr"/>
      <c r="U221" s="6" t="n">
        <v>0</v>
      </c>
      <c r="V221" s="6" t="n">
        <v>0</v>
      </c>
      <c r="W221" s="6" t="n">
        <v>0</v>
      </c>
      <c r="X221" s="6" t="n">
        <v>0</v>
      </c>
      <c r="Y221" s="6" t="n">
        <v>0</v>
      </c>
      <c r="Z221" s="6" t="n">
        <v>0</v>
      </c>
      <c r="AA221" s="9">
        <f>P221*(1-R221)*((1-B221)*Q221-B221*'模型说明与假设'!$B$7-'模型说明与假设'!$B$8)</f>
        <v/>
      </c>
      <c r="AB221" s="6" t="b">
        <v>0</v>
      </c>
      <c r="AC221" s="6" t="n">
        <v>0.1686280439476642</v>
      </c>
      <c r="AD221" s="6" t="inlineStr">
        <is>
          <t>B</t>
        </is>
      </c>
      <c r="AE221" s="6" t="n">
        <v>0</v>
      </c>
      <c r="AF221" s="6" t="n">
        <v>0.15</v>
      </c>
      <c r="AG221" s="6" t="n">
        <v>0.885864918999995</v>
      </c>
      <c r="AH221" s="6" t="n">
        <v>0</v>
      </c>
    </row>
    <row r="222">
      <c r="A222" s="6" t="inlineStr">
        <is>
          <t>E249</t>
        </is>
      </c>
      <c r="B222" s="6" t="n">
        <v>0.1967997525501404</v>
      </c>
      <c r="C222" s="6" t="inlineStr">
        <is>
          <t>B</t>
        </is>
      </c>
      <c r="D222" s="6" t="n">
        <v>0.6247172503498879</v>
      </c>
      <c r="E222" s="6" t="n">
        <v>0.1242867730944113</v>
      </c>
      <c r="F222" s="6" t="n">
        <v>0.2068949111431077</v>
      </c>
      <c r="G222" s="6" t="n">
        <v>221</v>
      </c>
      <c r="H222" s="6" t="n">
        <v>200</v>
      </c>
      <c r="I222" s="6" t="inlineStr">
        <is>
          <t>***建筑工程有限公司</t>
        </is>
      </c>
      <c r="J222" s="6" t="b">
        <v>0</v>
      </c>
      <c r="K222" s="6" t="inlineStr">
        <is>
          <t>中度负面</t>
        </is>
      </c>
      <c r="L222" s="6" t="n">
        <v>0.9</v>
      </c>
      <c r="M222" s="6" t="n">
        <v>1.15</v>
      </c>
      <c r="N222" s="6" t="n">
        <v>0.1756387851910534</v>
      </c>
      <c r="O222" s="6" t="inlineStr">
        <is>
          <t>B</t>
        </is>
      </c>
      <c r="P222" s="6" t="n">
        <v>0</v>
      </c>
      <c r="Q222" s="6" t="n">
        <v>0.15</v>
      </c>
      <c r="R222" s="6" t="n">
        <v>0.885864918999995</v>
      </c>
      <c r="S222" s="6" t="n">
        <v>-0.002579431648567789</v>
      </c>
      <c r="T222" s="6" t="inlineStr"/>
      <c r="U222" s="6" t="n">
        <v>0</v>
      </c>
      <c r="V222" s="6" t="n">
        <v>0</v>
      </c>
      <c r="W222" s="6" t="n">
        <v>0</v>
      </c>
      <c r="X222" s="6" t="n">
        <v>0</v>
      </c>
      <c r="Y222" s="6" t="n">
        <v>0</v>
      </c>
      <c r="Z222" s="6" t="n">
        <v>0</v>
      </c>
      <c r="AA222" s="9">
        <f>P222*(1-R222)*((1-B222)*Q222-B222*'模型说明与假设'!$B$7-'模型说明与假设'!$B$8)</f>
        <v/>
      </c>
      <c r="AB222" s="6" t="b">
        <v>0</v>
      </c>
      <c r="AC222" s="6" t="n">
        <v>0.1756387851910534</v>
      </c>
      <c r="AD222" s="6" t="inlineStr">
        <is>
          <t>B</t>
        </is>
      </c>
      <c r="AE222" s="6" t="n">
        <v>0</v>
      </c>
      <c r="AF222" s="6" t="n">
        <v>0.15</v>
      </c>
      <c r="AG222" s="6" t="n">
        <v>0.885864918999995</v>
      </c>
      <c r="AH222" s="6" t="n">
        <v>0</v>
      </c>
    </row>
    <row r="223">
      <c r="A223" s="6" t="inlineStr">
        <is>
          <t>E192</t>
        </is>
      </c>
      <c r="B223" s="6" t="n">
        <v>0.1981022547348498</v>
      </c>
      <c r="C223" s="6" t="inlineStr">
        <is>
          <t>B</t>
        </is>
      </c>
      <c r="D223" s="6" t="n">
        <v>0.6253115337944051</v>
      </c>
      <c r="E223" s="6" t="n">
        <v>0.1180621184387196</v>
      </c>
      <c r="F223" s="6" t="n">
        <v>0.1970319639447447</v>
      </c>
      <c r="G223" s="6" t="n">
        <v>222</v>
      </c>
      <c r="H223" s="6" t="n">
        <v>198</v>
      </c>
      <c r="I223" s="6" t="inlineStr">
        <is>
          <t>***建设工程有限公司</t>
        </is>
      </c>
      <c r="J223" s="6" t="b">
        <v>0</v>
      </c>
      <c r="K223" s="6" t="inlineStr">
        <is>
          <t>中度负面</t>
        </is>
      </c>
      <c r="L223" s="6" t="n">
        <v>0.9</v>
      </c>
      <c r="M223" s="6" t="n">
        <v>1.15</v>
      </c>
      <c r="N223" s="6" t="n">
        <v>0.176832069108543</v>
      </c>
      <c r="O223" s="6" t="inlineStr">
        <is>
          <t>B</t>
        </is>
      </c>
      <c r="P223" s="6" t="n">
        <v>0</v>
      </c>
      <c r="Q223" s="6" t="n">
        <v>0.15</v>
      </c>
      <c r="R223" s="6" t="n">
        <v>0.885864918999995</v>
      </c>
      <c r="S223" s="6" t="n">
        <v>-0.002690927542833655</v>
      </c>
      <c r="T223" s="6" t="inlineStr"/>
      <c r="U223" s="6" t="n">
        <v>0</v>
      </c>
      <c r="V223" s="6" t="n">
        <v>0</v>
      </c>
      <c r="W223" s="6" t="n">
        <v>0</v>
      </c>
      <c r="X223" s="6" t="n">
        <v>0</v>
      </c>
      <c r="Y223" s="6" t="n">
        <v>0</v>
      </c>
      <c r="Z223" s="6" t="n">
        <v>0</v>
      </c>
      <c r="AA223" s="9">
        <f>P223*(1-R223)*((1-B223)*Q223-B223*'模型说明与假设'!$B$7-'模型说明与假设'!$B$8)</f>
        <v/>
      </c>
      <c r="AB223" s="6" t="b">
        <v>0</v>
      </c>
      <c r="AC223" s="6" t="n">
        <v>0.176832069108543</v>
      </c>
      <c r="AD223" s="6" t="inlineStr">
        <is>
          <t>B</t>
        </is>
      </c>
      <c r="AE223" s="6" t="n">
        <v>0</v>
      </c>
      <c r="AF223" s="6" t="n">
        <v>0.15</v>
      </c>
      <c r="AG223" s="6" t="n">
        <v>0.885864918999995</v>
      </c>
      <c r="AH223" s="6" t="n">
        <v>0</v>
      </c>
    </row>
    <row r="224">
      <c r="A224" s="6" t="inlineStr">
        <is>
          <t>E296</t>
        </is>
      </c>
      <c r="B224" s="6" t="n">
        <v>0.2147416802267752</v>
      </c>
      <c r="C224" s="6" t="inlineStr">
        <is>
          <t>C</t>
        </is>
      </c>
      <c r="D224" s="6" t="n">
        <v>0.6497098965366014</v>
      </c>
      <c r="E224" s="6" t="n">
        <v>0.1065618805971012</v>
      </c>
      <c r="F224" s="6" t="n">
        <v>0.1976484854494969</v>
      </c>
      <c r="G224" s="6" t="n">
        <v>223</v>
      </c>
      <c r="H224" s="6" t="n">
        <v>180</v>
      </c>
      <c r="I224" s="6" t="inlineStr">
        <is>
          <t>***装饰设计工程有限公司</t>
        </is>
      </c>
      <c r="J224" s="6" t="b">
        <v>0</v>
      </c>
      <c r="K224" s="6" t="inlineStr">
        <is>
          <t>中度负面</t>
        </is>
      </c>
      <c r="L224" s="6" t="n">
        <v>0.9</v>
      </c>
      <c r="M224" s="6" t="n">
        <v>1.15</v>
      </c>
      <c r="N224" s="6" t="n">
        <v>0.1921129378136397</v>
      </c>
      <c r="O224" s="6" t="inlineStr">
        <is>
          <t>B</t>
        </is>
      </c>
      <c r="P224" s="6" t="n">
        <v>0</v>
      </c>
      <c r="Q224" s="6" t="n">
        <v>0.15</v>
      </c>
      <c r="R224" s="6" t="n">
        <v>0.8951647386620309</v>
      </c>
      <c r="S224" s="6" t="n">
        <v>-0.003779967457800289</v>
      </c>
      <c r="T224" s="6" t="inlineStr"/>
      <c r="U224" s="6" t="n">
        <v>0</v>
      </c>
      <c r="V224" s="6" t="n">
        <v>0</v>
      </c>
      <c r="W224" s="6" t="n">
        <v>0</v>
      </c>
      <c r="X224" s="6" t="n">
        <v>0</v>
      </c>
      <c r="Y224" s="6" t="n">
        <v>0</v>
      </c>
      <c r="Z224" s="6" t="n">
        <v>0</v>
      </c>
      <c r="AA224" s="9">
        <f>P224*(1-R224)*((1-B224)*Q224-B224*'模型说明与假设'!$B$7-'模型说明与假设'!$B$8)</f>
        <v/>
      </c>
      <c r="AB224" s="6" t="b">
        <v>0</v>
      </c>
      <c r="AC224" s="6" t="n">
        <v>0.1921129378136397</v>
      </c>
      <c r="AD224" s="6" t="inlineStr">
        <is>
          <t>B</t>
        </is>
      </c>
      <c r="AE224" s="6" t="n">
        <v>0</v>
      </c>
      <c r="AF224" s="6" t="n">
        <v>0.15</v>
      </c>
      <c r="AG224" s="6" t="n">
        <v>0.885864918999995</v>
      </c>
      <c r="AH224" s="6" t="n">
        <v>0</v>
      </c>
    </row>
    <row r="225">
      <c r="A225" s="6" t="inlineStr">
        <is>
          <t>E367</t>
        </is>
      </c>
      <c r="B225" s="6" t="n">
        <v>0.1771087630662406</v>
      </c>
      <c r="C225" s="6" t="inlineStr">
        <is>
          <t>B</t>
        </is>
      </c>
      <c r="D225" s="6" t="n">
        <v>0.5649302413918019</v>
      </c>
      <c r="E225" s="6" t="n">
        <v>0.145230904967505</v>
      </c>
      <c r="F225" s="6" t="n">
        <v>0.188579712971336</v>
      </c>
      <c r="G225" s="6" t="n">
        <v>224</v>
      </c>
      <c r="H225" s="6" t="n">
        <v>253</v>
      </c>
      <c r="I225" s="6" t="inlineStr">
        <is>
          <t>***电子商务有限公司</t>
        </is>
      </c>
      <c r="J225" s="6" t="b">
        <v>0</v>
      </c>
      <c r="K225" s="6" t="inlineStr">
        <is>
          <t>正面/轻影响</t>
        </is>
      </c>
      <c r="L225" s="6" t="n">
        <v>0.9</v>
      </c>
      <c r="M225" s="6" t="n">
        <v>0.9</v>
      </c>
      <c r="N225" s="6" t="n">
        <v>0.192989717828151</v>
      </c>
      <c r="O225" s="6" t="inlineStr">
        <is>
          <t>B</t>
        </is>
      </c>
      <c r="P225" s="6" t="n">
        <v>0</v>
      </c>
      <c r="Q225" s="6" t="n">
        <v>0.15</v>
      </c>
      <c r="R225" s="6" t="n">
        <v>0.885864918999995</v>
      </c>
      <c r="S225" s="6" t="n">
        <v>-0.0008938571387814221</v>
      </c>
      <c r="T225" s="6" t="inlineStr"/>
      <c r="U225" s="6" t="n">
        <v>0</v>
      </c>
      <c r="V225" s="6" t="n">
        <v>0</v>
      </c>
      <c r="W225" s="6" t="n">
        <v>0</v>
      </c>
      <c r="X225" s="6" t="n">
        <v>0</v>
      </c>
      <c r="Y225" s="6" t="n">
        <v>0</v>
      </c>
      <c r="Z225" s="6" t="n">
        <v>0</v>
      </c>
      <c r="AA225" s="9">
        <f>P225*(1-R225)*((1-B225)*Q225-B225*'模型说明与假设'!$B$7-'模型说明与假设'!$B$8)</f>
        <v/>
      </c>
      <c r="AB225" s="6" t="b">
        <v>0</v>
      </c>
      <c r="AC225" s="6" t="n">
        <v>0.192989717828151</v>
      </c>
      <c r="AD225" s="6" t="inlineStr">
        <is>
          <t>B</t>
        </is>
      </c>
      <c r="AE225" s="6" t="n">
        <v>0</v>
      </c>
      <c r="AF225" s="6" t="n">
        <v>0.15</v>
      </c>
      <c r="AG225" s="6" t="n">
        <v>0.885864918999995</v>
      </c>
      <c r="AH225" s="6" t="n">
        <v>0</v>
      </c>
    </row>
    <row r="226">
      <c r="A226" s="6" t="inlineStr">
        <is>
          <t>E335</t>
        </is>
      </c>
      <c r="B226" s="6" t="n">
        <v>0.1972350938716716</v>
      </c>
      <c r="C226" s="6" t="inlineStr">
        <is>
          <t>B</t>
        </is>
      </c>
      <c r="D226" s="6" t="n">
        <v>0.6536578775031683</v>
      </c>
      <c r="E226" s="6" t="n">
        <v>0.1064717606443807</v>
      </c>
      <c r="F226" s="6" t="n">
        <v>0.2009461181767397</v>
      </c>
      <c r="G226" s="6" t="n">
        <v>225</v>
      </c>
      <c r="H226" s="6" t="n">
        <v>178</v>
      </c>
      <c r="I226" s="6" t="inlineStr">
        <is>
          <t>***挖掘机租赁经营部</t>
        </is>
      </c>
      <c r="J226" s="6" t="b">
        <v>0</v>
      </c>
      <c r="K226" s="6" t="inlineStr">
        <is>
          <t>其他</t>
        </is>
      </c>
      <c r="L226" s="6" t="n">
        <v>0.3</v>
      </c>
      <c r="M226" s="6" t="n">
        <v>1</v>
      </c>
      <c r="N226" s="6" t="n">
        <v>0.1972350938716716</v>
      </c>
      <c r="O226" s="6" t="inlineStr">
        <is>
          <t>B</t>
        </is>
      </c>
      <c r="P226" s="6" t="n">
        <v>0</v>
      </c>
      <c r="Q226" s="6" t="n">
        <v>0.15</v>
      </c>
      <c r="R226" s="6" t="n">
        <v>0.885864918999995</v>
      </c>
      <c r="S226" s="6" t="n">
        <v>-0.002616697436314498</v>
      </c>
      <c r="T226" s="6" t="inlineStr"/>
      <c r="U226" s="6" t="n">
        <v>0</v>
      </c>
      <c r="V226" s="6" t="n">
        <v>0</v>
      </c>
      <c r="W226" s="6" t="n">
        <v>0</v>
      </c>
      <c r="X226" s="6" t="n">
        <v>0</v>
      </c>
      <c r="Y226" s="6" t="n">
        <v>0</v>
      </c>
      <c r="Z226" s="6" t="n">
        <v>0</v>
      </c>
      <c r="AA226" s="9">
        <f>P226*(1-R226)*((1-B226)*Q226-B226*'模型说明与假设'!$B$7-'模型说明与假设'!$B$8)</f>
        <v/>
      </c>
      <c r="AB226" s="6" t="b">
        <v>0</v>
      </c>
      <c r="AC226" s="6" t="n">
        <v>0.1972350938716716</v>
      </c>
      <c r="AD226" s="6" t="inlineStr">
        <is>
          <t>B</t>
        </is>
      </c>
      <c r="AE226" s="6" t="n">
        <v>0</v>
      </c>
      <c r="AF226" s="6" t="n">
        <v>0.15</v>
      </c>
      <c r="AG226" s="6" t="n">
        <v>0.885864918999995</v>
      </c>
      <c r="AH226" s="6" t="n">
        <v>0</v>
      </c>
    </row>
    <row r="227">
      <c r="A227" s="6" t="inlineStr">
        <is>
          <t>E353</t>
        </is>
      </c>
      <c r="B227" s="6" t="n">
        <v>0.2035507168410176</v>
      </c>
      <c r="C227" s="6" t="inlineStr">
        <is>
          <t>C</t>
        </is>
      </c>
      <c r="D227" s="6" t="n">
        <v>0.641516700342869</v>
      </c>
      <c r="E227" s="6" t="n">
        <v>0.1162707576479679</v>
      </c>
      <c r="F227" s="6" t="n">
        <v>0.2080700352402204</v>
      </c>
      <c r="G227" s="6" t="n">
        <v>226</v>
      </c>
      <c r="H227" s="6" t="n">
        <v>186</v>
      </c>
      <c r="I227" s="6" t="inlineStr">
        <is>
          <t>***税务师事务所有限公司</t>
        </is>
      </c>
      <c r="J227" s="6" t="b">
        <v>0</v>
      </c>
      <c r="K227" s="6" t="inlineStr">
        <is>
          <t>其他</t>
        </is>
      </c>
      <c r="L227" s="6" t="n">
        <v>0.3</v>
      </c>
      <c r="M227" s="6" t="n">
        <v>1</v>
      </c>
      <c r="N227" s="6" t="n">
        <v>0.2035507168410176</v>
      </c>
      <c r="O227" s="6" t="inlineStr">
        <is>
          <t>C</t>
        </is>
      </c>
      <c r="P227" s="6" t="n">
        <v>0</v>
      </c>
      <c r="Q227" s="6" t="n">
        <v>0.15</v>
      </c>
      <c r="R227" s="6" t="n">
        <v>0.8951647386620309</v>
      </c>
      <c r="S227" s="6" t="n">
        <v>-0.00290006177942313</v>
      </c>
      <c r="T227" s="6" t="inlineStr"/>
      <c r="U227" s="6" t="n">
        <v>0</v>
      </c>
      <c r="V227" s="6" t="n">
        <v>0</v>
      </c>
      <c r="W227" s="6" t="n">
        <v>0</v>
      </c>
      <c r="X227" s="6" t="n">
        <v>0</v>
      </c>
      <c r="Y227" s="6" t="n">
        <v>0</v>
      </c>
      <c r="Z227" s="6" t="n">
        <v>0</v>
      </c>
      <c r="AA227" s="9">
        <f>P227*(1-R227)*((1-B227)*Q227-B227*'模型说明与假设'!$B$7-'模型说明与假设'!$B$8)</f>
        <v/>
      </c>
      <c r="AB227" s="6" t="b">
        <v>0</v>
      </c>
      <c r="AC227" s="6" t="n">
        <v>0.2035507168410176</v>
      </c>
      <c r="AD227" s="6" t="inlineStr">
        <is>
          <t>C</t>
        </is>
      </c>
      <c r="AE227" s="6" t="n">
        <v>0</v>
      </c>
      <c r="AF227" s="6" t="n">
        <v>0.15</v>
      </c>
      <c r="AG227" s="6" t="n">
        <v>0.8951647386620309</v>
      </c>
      <c r="AH227" s="6" t="n">
        <v>0</v>
      </c>
    </row>
    <row r="228">
      <c r="A228" s="6" t="inlineStr">
        <is>
          <t>E233</t>
        </is>
      </c>
      <c r="B228" s="6" t="n">
        <v>0.208008070947497</v>
      </c>
      <c r="C228" s="6" t="inlineStr">
        <is>
          <t>C</t>
        </is>
      </c>
      <c r="D228" s="6" t="n">
        <v>0.6900744749997154</v>
      </c>
      <c r="E228" s="6" t="n">
        <v>0.1028144055976734</v>
      </c>
      <c r="F228" s="6" t="n">
        <v>0.2289246649341228</v>
      </c>
      <c r="G228" s="6" t="n">
        <v>227</v>
      </c>
      <c r="H228" s="6" t="n">
        <v>130</v>
      </c>
      <c r="I228" s="6" t="inlineStr">
        <is>
          <t>***劳务有限公司</t>
        </is>
      </c>
      <c r="J228" s="6" t="b">
        <v>0</v>
      </c>
      <c r="K228" s="6" t="inlineStr">
        <is>
          <t>其他</t>
        </is>
      </c>
      <c r="L228" s="6" t="n">
        <v>0.3</v>
      </c>
      <c r="M228" s="6" t="n">
        <v>1</v>
      </c>
      <c r="N228" s="6" t="n">
        <v>0.2080080709474971</v>
      </c>
      <c r="O228" s="6" t="inlineStr">
        <is>
          <t>C</t>
        </is>
      </c>
      <c r="P228" s="6" t="n">
        <v>0</v>
      </c>
      <c r="Q228" s="6" t="n">
        <v>0.15</v>
      </c>
      <c r="R228" s="6" t="n">
        <v>0.8951647386620309</v>
      </c>
      <c r="S228" s="6" t="n">
        <v>-0.003250527691394614</v>
      </c>
      <c r="T228" s="6" t="inlineStr"/>
      <c r="U228" s="6" t="n">
        <v>0</v>
      </c>
      <c r="V228" s="6" t="n">
        <v>0</v>
      </c>
      <c r="W228" s="6" t="n">
        <v>0</v>
      </c>
      <c r="X228" s="6" t="n">
        <v>0</v>
      </c>
      <c r="Y228" s="6" t="n">
        <v>0</v>
      </c>
      <c r="Z228" s="6" t="n">
        <v>0</v>
      </c>
      <c r="AA228" s="9">
        <f>P228*(1-R228)*((1-B228)*Q228-B228*'模型说明与假设'!$B$7-'模型说明与假设'!$B$8)</f>
        <v/>
      </c>
      <c r="AB228" s="6" t="b">
        <v>0</v>
      </c>
      <c r="AC228" s="6" t="n">
        <v>0.2080080709474971</v>
      </c>
      <c r="AD228" s="6" t="inlineStr">
        <is>
          <t>C</t>
        </is>
      </c>
      <c r="AE228" s="6" t="n">
        <v>0</v>
      </c>
      <c r="AF228" s="6" t="n">
        <v>0.15</v>
      </c>
      <c r="AG228" s="6" t="n">
        <v>0.8951647386620309</v>
      </c>
      <c r="AH228" s="6" t="n">
        <v>0</v>
      </c>
    </row>
    <row r="229">
      <c r="A229" s="6" t="inlineStr">
        <is>
          <t>E276</t>
        </is>
      </c>
      <c r="B229" s="6" t="n">
        <v>0.2087665386363401</v>
      </c>
      <c r="C229" s="6" t="inlineStr">
        <is>
          <t>C</t>
        </is>
      </c>
      <c r="D229" s="6" t="n">
        <v>0.65669199026145</v>
      </c>
      <c r="E229" s="6" t="n">
        <v>0.1066026593920865</v>
      </c>
      <c r="F229" s="6" t="n">
        <v>0.2039134263621345</v>
      </c>
      <c r="G229" s="6" t="n">
        <v>228</v>
      </c>
      <c r="H229" s="6" t="n">
        <v>175</v>
      </c>
      <c r="I229" s="6" t="inlineStr">
        <is>
          <t>***体育设施工程有限公司</t>
        </is>
      </c>
      <c r="J229" s="6" t="b">
        <v>0</v>
      </c>
      <c r="K229" s="6" t="inlineStr">
        <is>
          <t>其他</t>
        </is>
      </c>
      <c r="L229" s="6" t="n">
        <v>0.3</v>
      </c>
      <c r="M229" s="6" t="n">
        <v>1</v>
      </c>
      <c r="N229" s="6" t="n">
        <v>0.2087665386363401</v>
      </c>
      <c r="O229" s="6" t="inlineStr">
        <is>
          <t>C</t>
        </is>
      </c>
      <c r="P229" s="6" t="n">
        <v>0</v>
      </c>
      <c r="Q229" s="6" t="n">
        <v>0.15</v>
      </c>
      <c r="R229" s="6" t="n">
        <v>0.8951647386620309</v>
      </c>
      <c r="S229" s="6" t="n">
        <v>-0.003310163310176816</v>
      </c>
      <c r="T229" s="6" t="inlineStr"/>
      <c r="U229" s="6" t="n">
        <v>0</v>
      </c>
      <c r="V229" s="6" t="n">
        <v>0</v>
      </c>
      <c r="W229" s="6" t="n">
        <v>0</v>
      </c>
      <c r="X229" s="6" t="n">
        <v>0</v>
      </c>
      <c r="Y229" s="6" t="n">
        <v>0</v>
      </c>
      <c r="Z229" s="6" t="n">
        <v>0</v>
      </c>
      <c r="AA229" s="9">
        <f>P229*(1-R229)*((1-B229)*Q229-B229*'模型说明与假设'!$B$7-'模型说明与假设'!$B$8)</f>
        <v/>
      </c>
      <c r="AB229" s="6" t="b">
        <v>0</v>
      </c>
      <c r="AC229" s="6" t="n">
        <v>0.2087665386363401</v>
      </c>
      <c r="AD229" s="6" t="inlineStr">
        <is>
          <t>C</t>
        </is>
      </c>
      <c r="AE229" s="6" t="n">
        <v>0</v>
      </c>
      <c r="AF229" s="6" t="n">
        <v>0.15</v>
      </c>
      <c r="AG229" s="6" t="n">
        <v>0.8951647386620309</v>
      </c>
      <c r="AH229" s="6" t="n">
        <v>0</v>
      </c>
    </row>
    <row r="230">
      <c r="A230" s="6" t="inlineStr">
        <is>
          <t>E369</t>
        </is>
      </c>
      <c r="B230" s="6" t="n">
        <v>0.1944047292853082</v>
      </c>
      <c r="C230" s="6" t="inlineStr">
        <is>
          <t>B</t>
        </is>
      </c>
      <c r="D230" s="6" t="n">
        <v>0.6247304237991453</v>
      </c>
      <c r="E230" s="6" t="n">
        <v>0.1217202424340541</v>
      </c>
      <c r="F230" s="6" t="n">
        <v>0.2026339023019052</v>
      </c>
      <c r="G230" s="6" t="n">
        <v>229</v>
      </c>
      <c r="H230" s="6" t="n">
        <v>199</v>
      </c>
      <c r="I230" s="6" t="inlineStr">
        <is>
          <t>***网络技术有限公司</t>
        </is>
      </c>
      <c r="J230" s="6" t="b">
        <v>0</v>
      </c>
      <c r="K230" s="6" t="inlineStr">
        <is>
          <t>正面/轻影响</t>
        </is>
      </c>
      <c r="L230" s="6" t="n">
        <v>0.9</v>
      </c>
      <c r="M230" s="6" t="n">
        <v>0.9</v>
      </c>
      <c r="N230" s="6" t="n">
        <v>0.2114380811039406</v>
      </c>
      <c r="O230" s="6" t="inlineStr">
        <is>
          <t>C</t>
        </is>
      </c>
      <c r="P230" s="6" t="n">
        <v>0</v>
      </c>
      <c r="Q230" s="6" t="n">
        <v>0.15</v>
      </c>
      <c r="R230" s="6" t="n">
        <v>0.885864918999995</v>
      </c>
      <c r="S230" s="6" t="n">
        <v>-0.002374414517821403</v>
      </c>
      <c r="T230" s="6" t="inlineStr"/>
      <c r="U230" s="6" t="n">
        <v>0</v>
      </c>
      <c r="V230" s="6" t="n">
        <v>0</v>
      </c>
      <c r="W230" s="6" t="n">
        <v>0</v>
      </c>
      <c r="X230" s="6" t="n">
        <v>0</v>
      </c>
      <c r="Y230" s="6" t="n">
        <v>0</v>
      </c>
      <c r="Z230" s="6" t="n">
        <v>0</v>
      </c>
      <c r="AA230" s="9">
        <f>P230*(1-R230)*((1-B230)*Q230-B230*'模型说明与假设'!$B$7-'模型说明与假设'!$B$8)</f>
        <v/>
      </c>
      <c r="AB230" s="6" t="b">
        <v>0</v>
      </c>
      <c r="AC230" s="6" t="n">
        <v>0.2114380811039406</v>
      </c>
      <c r="AD230" s="6" t="inlineStr">
        <is>
          <t>C</t>
        </is>
      </c>
      <c r="AE230" s="6" t="n">
        <v>0</v>
      </c>
      <c r="AF230" s="6" t="n">
        <v>0.15</v>
      </c>
      <c r="AG230" s="6" t="n">
        <v>0.8951647386620309</v>
      </c>
      <c r="AH230" s="6" t="n">
        <v>0</v>
      </c>
    </row>
    <row r="231">
      <c r="A231" s="6" t="inlineStr">
        <is>
          <t>E345</t>
        </is>
      </c>
      <c r="B231" s="6" t="n">
        <v>0.1963842100891862</v>
      </c>
      <c r="C231" s="6" t="inlineStr">
        <is>
          <t>B</t>
        </is>
      </c>
      <c r="D231" s="6" t="n">
        <v>0.6641742495317855</v>
      </c>
      <c r="E231" s="6" t="n">
        <v>0.1058806763926034</v>
      </c>
      <c r="F231" s="6" t="n">
        <v>0.2094038908122122</v>
      </c>
      <c r="G231" s="6" t="n">
        <v>230</v>
      </c>
      <c r="H231" s="6" t="n">
        <v>163</v>
      </c>
      <c r="I231" s="6" t="inlineStr">
        <is>
          <t>***科技有限公司</t>
        </is>
      </c>
      <c r="J231" s="6" t="b">
        <v>0</v>
      </c>
      <c r="K231" s="6" t="inlineStr">
        <is>
          <t>正面/轻影响</t>
        </is>
      </c>
      <c r="L231" s="6" t="n">
        <v>0.9</v>
      </c>
      <c r="M231" s="6" t="n">
        <v>0.9</v>
      </c>
      <c r="N231" s="6" t="n">
        <v>0.2135450255261592</v>
      </c>
      <c r="O231" s="6" t="inlineStr">
        <is>
          <t>C</t>
        </is>
      </c>
      <c r="P231" s="6" t="n">
        <v>0</v>
      </c>
      <c r="Q231" s="6" t="n">
        <v>0.15</v>
      </c>
      <c r="R231" s="6" t="n">
        <v>0.885864918999995</v>
      </c>
      <c r="S231" s="6" t="n">
        <v>-0.002543860669237829</v>
      </c>
      <c r="T231" s="6" t="inlineStr"/>
      <c r="U231" s="6" t="n">
        <v>0</v>
      </c>
      <c r="V231" s="6" t="n">
        <v>0</v>
      </c>
      <c r="W231" s="6" t="n">
        <v>0</v>
      </c>
      <c r="X231" s="6" t="n">
        <v>0</v>
      </c>
      <c r="Y231" s="6" t="n">
        <v>0</v>
      </c>
      <c r="Z231" s="6" t="n">
        <v>0</v>
      </c>
      <c r="AA231" s="9">
        <f>P231*(1-R231)*((1-B231)*Q231-B231*'模型说明与假设'!$B$7-'模型说明与假设'!$B$8)</f>
        <v/>
      </c>
      <c r="AB231" s="6" t="b">
        <v>0</v>
      </c>
      <c r="AC231" s="6" t="n">
        <v>0.2135450255261592</v>
      </c>
      <c r="AD231" s="6" t="inlineStr">
        <is>
          <t>C</t>
        </is>
      </c>
      <c r="AE231" s="6" t="n">
        <v>0</v>
      </c>
      <c r="AF231" s="6" t="n">
        <v>0.15</v>
      </c>
      <c r="AG231" s="6" t="n">
        <v>0.8951647386620309</v>
      </c>
      <c r="AH231" s="6" t="n">
        <v>0</v>
      </c>
    </row>
    <row r="232">
      <c r="A232" s="6" t="inlineStr">
        <is>
          <t>E351</t>
        </is>
      </c>
      <c r="B232" s="6" t="n">
        <v>0.2183449415567134</v>
      </c>
      <c r="C232" s="6" t="inlineStr">
        <is>
          <t>C</t>
        </is>
      </c>
      <c r="D232" s="6" t="n">
        <v>0.620266304257853</v>
      </c>
      <c r="E232" s="6" t="n">
        <v>0.1208717916359479</v>
      </c>
      <c r="F232" s="6" t="n">
        <v>0.1974349401375322</v>
      </c>
      <c r="G232" s="6" t="n">
        <v>231</v>
      </c>
      <c r="H232" s="6" t="n">
        <v>206</v>
      </c>
      <c r="I232" s="6" t="inlineStr">
        <is>
          <t>***文化传播有限公司</t>
        </is>
      </c>
      <c r="J232" s="6" t="b">
        <v>0</v>
      </c>
      <c r="K232" s="6" t="inlineStr">
        <is>
          <t>其他</t>
        </is>
      </c>
      <c r="L232" s="6" t="n">
        <v>0.3</v>
      </c>
      <c r="M232" s="6" t="n">
        <v>1</v>
      </c>
      <c r="N232" s="6" t="n">
        <v>0.2183449415567134</v>
      </c>
      <c r="O232" s="6" t="inlineStr">
        <is>
          <t>C</t>
        </is>
      </c>
      <c r="P232" s="6" t="n">
        <v>0</v>
      </c>
      <c r="Q232" s="6" t="n">
        <v>0.15</v>
      </c>
      <c r="R232" s="6" t="n">
        <v>0.8951647386620309</v>
      </c>
      <c r="S232" s="6" t="n">
        <v>-0.004063279090195089</v>
      </c>
      <c r="T232" s="6" t="inlineStr"/>
      <c r="U232" s="6" t="n">
        <v>0</v>
      </c>
      <c r="V232" s="6" t="n">
        <v>0</v>
      </c>
      <c r="W232" s="6" t="n">
        <v>0</v>
      </c>
      <c r="X232" s="6" t="n">
        <v>0</v>
      </c>
      <c r="Y232" s="6" t="n">
        <v>0</v>
      </c>
      <c r="Z232" s="6" t="n">
        <v>0</v>
      </c>
      <c r="AA232" s="9">
        <f>P232*(1-R232)*((1-B232)*Q232-B232*'模型说明与假设'!$B$7-'模型说明与假设'!$B$8)</f>
        <v/>
      </c>
      <c r="AB232" s="6" t="b">
        <v>0</v>
      </c>
      <c r="AC232" s="6" t="n">
        <v>0.2183449415567134</v>
      </c>
      <c r="AD232" s="6" t="inlineStr">
        <is>
          <t>C</t>
        </is>
      </c>
      <c r="AE232" s="6" t="n">
        <v>0</v>
      </c>
      <c r="AF232" s="6" t="n">
        <v>0.15</v>
      </c>
      <c r="AG232" s="6" t="n">
        <v>0.8951647386620309</v>
      </c>
      <c r="AH232" s="6" t="n">
        <v>0</v>
      </c>
    </row>
    <row r="233">
      <c r="A233" s="6" t="inlineStr">
        <is>
          <t>E347</t>
        </is>
      </c>
      <c r="B233" s="6" t="n">
        <v>0.2200271447359339</v>
      </c>
      <c r="C233" s="6" t="inlineStr">
        <is>
          <t>C</t>
        </is>
      </c>
      <c r="D233" s="6" t="n">
        <v>0.6409655507702017</v>
      </c>
      <c r="E233" s="6" t="n">
        <v>0.1156457763404652</v>
      </c>
      <c r="F233" s="6" t="n">
        <v>0.206456396831354</v>
      </c>
      <c r="G233" s="6" t="n">
        <v>232</v>
      </c>
      <c r="H233" s="6" t="n">
        <v>187</v>
      </c>
      <c r="I233" s="6" t="inlineStr">
        <is>
          <t>***不锈钢材料有限公司</t>
        </is>
      </c>
      <c r="J233" s="6" t="b">
        <v>0</v>
      </c>
      <c r="K233" s="6" t="inlineStr">
        <is>
          <t>其他</t>
        </is>
      </c>
      <c r="L233" s="6" t="n">
        <v>0.3</v>
      </c>
      <c r="M233" s="6" t="n">
        <v>1</v>
      </c>
      <c r="N233" s="6" t="n">
        <v>0.2200271447359339</v>
      </c>
      <c r="O233" s="6" t="inlineStr">
        <is>
          <t>C</t>
        </is>
      </c>
      <c r="P233" s="6" t="n">
        <v>0</v>
      </c>
      <c r="Q233" s="6" t="n">
        <v>0.15</v>
      </c>
      <c r="R233" s="6" t="n">
        <v>0.8951647386620309</v>
      </c>
      <c r="S233" s="6" t="n">
        <v>-0.004195544747632947</v>
      </c>
      <c r="T233" s="6" t="inlineStr"/>
      <c r="U233" s="6" t="n">
        <v>0</v>
      </c>
      <c r="V233" s="6" t="n">
        <v>0</v>
      </c>
      <c r="W233" s="6" t="n">
        <v>0</v>
      </c>
      <c r="X233" s="6" t="n">
        <v>0</v>
      </c>
      <c r="Y233" s="6" t="n">
        <v>0</v>
      </c>
      <c r="Z233" s="6" t="n">
        <v>0</v>
      </c>
      <c r="AA233" s="9">
        <f>P233*(1-R233)*((1-B233)*Q233-B233*'模型说明与假设'!$B$7-'模型说明与假设'!$B$8)</f>
        <v/>
      </c>
      <c r="AB233" s="6" t="b">
        <v>0</v>
      </c>
      <c r="AC233" s="6" t="n">
        <v>0.2200271447359339</v>
      </c>
      <c r="AD233" s="6" t="inlineStr">
        <is>
          <t>C</t>
        </is>
      </c>
      <c r="AE233" s="6" t="n">
        <v>0</v>
      </c>
      <c r="AF233" s="6" t="n">
        <v>0.15</v>
      </c>
      <c r="AG233" s="6" t="n">
        <v>0.8951647386620309</v>
      </c>
      <c r="AH233" s="6" t="n">
        <v>0</v>
      </c>
    </row>
    <row r="234">
      <c r="A234" s="6" t="inlineStr">
        <is>
          <t>E331</t>
        </is>
      </c>
      <c r="B234" s="6" t="n">
        <v>0.2286713418100443</v>
      </c>
      <c r="C234" s="6" t="inlineStr">
        <is>
          <t>C</t>
        </is>
      </c>
      <c r="D234" s="6" t="n">
        <v>0.6408801141305505</v>
      </c>
      <c r="E234" s="6" t="n">
        <v>0.1145845328170326</v>
      </c>
      <c r="F234" s="6" t="n">
        <v>0.2044858871894145</v>
      </c>
      <c r="G234" s="6" t="n">
        <v>233</v>
      </c>
      <c r="H234" s="6" t="n">
        <v>188</v>
      </c>
      <c r="I234" s="6" t="inlineStr">
        <is>
          <t>***广告有限公司</t>
        </is>
      </c>
      <c r="J234" s="6" t="b">
        <v>0</v>
      </c>
      <c r="K234" s="6" t="inlineStr">
        <is>
          <t>其他</t>
        </is>
      </c>
      <c r="L234" s="6" t="n">
        <v>0.3</v>
      </c>
      <c r="M234" s="6" t="n">
        <v>1</v>
      </c>
      <c r="N234" s="6" t="n">
        <v>0.2286713418100444</v>
      </c>
      <c r="O234" s="6" t="inlineStr">
        <is>
          <t>C</t>
        </is>
      </c>
      <c r="P234" s="6" t="n">
        <v>0</v>
      </c>
      <c r="Q234" s="6" t="n">
        <v>0.15</v>
      </c>
      <c r="R234" s="6" t="n">
        <v>0.8951647386620309</v>
      </c>
      <c r="S234" s="6" t="n">
        <v>-0.004875207242123903</v>
      </c>
      <c r="T234" s="6" t="inlineStr"/>
      <c r="U234" s="6" t="n">
        <v>0</v>
      </c>
      <c r="V234" s="6" t="n">
        <v>0</v>
      </c>
      <c r="W234" s="6" t="n">
        <v>0</v>
      </c>
      <c r="X234" s="6" t="n">
        <v>0</v>
      </c>
      <c r="Y234" s="6" t="n">
        <v>0</v>
      </c>
      <c r="Z234" s="6" t="n">
        <v>0</v>
      </c>
      <c r="AA234" s="9">
        <f>P234*(1-R234)*((1-B234)*Q234-B234*'模型说明与假设'!$B$7-'模型说明与假设'!$B$8)</f>
        <v/>
      </c>
      <c r="AB234" s="6" t="b">
        <v>0</v>
      </c>
      <c r="AC234" s="6" t="n">
        <v>0.2286713418100444</v>
      </c>
      <c r="AD234" s="6" t="inlineStr">
        <is>
          <t>C</t>
        </is>
      </c>
      <c r="AE234" s="6" t="n">
        <v>0</v>
      </c>
      <c r="AF234" s="6" t="n">
        <v>0.15</v>
      </c>
      <c r="AG234" s="6" t="n">
        <v>0.8951647386620309</v>
      </c>
      <c r="AH234" s="6" t="n">
        <v>0</v>
      </c>
    </row>
    <row r="235">
      <c r="A235" s="6" t="inlineStr">
        <is>
          <t>E400</t>
        </is>
      </c>
      <c r="B235" s="6" t="n">
        <v>0.2309816408448649</v>
      </c>
      <c r="C235" s="6" t="inlineStr">
        <is>
          <t>C</t>
        </is>
      </c>
      <c r="D235" s="6" t="n">
        <v>0.5658004719391663</v>
      </c>
      <c r="E235" s="6" t="n">
        <v>0.1464221402715153</v>
      </c>
      <c r="F235" s="6" t="n">
        <v>0.1908010274399908</v>
      </c>
      <c r="G235" s="6" t="n">
        <v>234</v>
      </c>
      <c r="H235" s="6" t="n">
        <v>252</v>
      </c>
      <c r="I235" s="6" t="inlineStr">
        <is>
          <t>***办公用品经营部</t>
        </is>
      </c>
      <c r="J235" s="6" t="b">
        <v>0</v>
      </c>
      <c r="K235" s="6" t="inlineStr">
        <is>
          <t>其他</t>
        </is>
      </c>
      <c r="L235" s="6" t="n">
        <v>0.3</v>
      </c>
      <c r="M235" s="6" t="n">
        <v>1</v>
      </c>
      <c r="N235" s="6" t="n">
        <v>0.2309816408448649</v>
      </c>
      <c r="O235" s="6" t="inlineStr">
        <is>
          <t>C</t>
        </is>
      </c>
      <c r="P235" s="6" t="n">
        <v>0</v>
      </c>
      <c r="Q235" s="6" t="n">
        <v>0.15</v>
      </c>
      <c r="R235" s="6" t="n">
        <v>0.8951647386620309</v>
      </c>
      <c r="S235" s="6" t="n">
        <v>-0.005056857844437106</v>
      </c>
      <c r="T235" s="6" t="inlineStr"/>
      <c r="U235" s="6" t="n">
        <v>0</v>
      </c>
      <c r="V235" s="6" t="n">
        <v>0</v>
      </c>
      <c r="W235" s="6" t="n">
        <v>0</v>
      </c>
      <c r="X235" s="6" t="n">
        <v>0</v>
      </c>
      <c r="Y235" s="6" t="n">
        <v>0</v>
      </c>
      <c r="Z235" s="6" t="n">
        <v>0</v>
      </c>
      <c r="AA235" s="9">
        <f>P235*(1-R235)*((1-B235)*Q235-B235*'模型说明与假设'!$B$7-'模型说明与假设'!$B$8)</f>
        <v/>
      </c>
      <c r="AB235" s="6" t="b">
        <v>0</v>
      </c>
      <c r="AC235" s="6" t="n">
        <v>0.2309816408448649</v>
      </c>
      <c r="AD235" s="6" t="inlineStr">
        <is>
          <t>C</t>
        </is>
      </c>
      <c r="AE235" s="6" t="n">
        <v>0</v>
      </c>
      <c r="AF235" s="6" t="n">
        <v>0.15</v>
      </c>
      <c r="AG235" s="6" t="n">
        <v>0.8951647386620309</v>
      </c>
      <c r="AH235" s="6" t="n">
        <v>0</v>
      </c>
    </row>
    <row r="236">
      <c r="A236" s="6" t="inlineStr">
        <is>
          <t>E232</t>
        </is>
      </c>
      <c r="B236" s="6" t="n">
        <v>0.233180052290264</v>
      </c>
      <c r="C236" s="6" t="inlineStr">
        <is>
          <t>C</t>
        </is>
      </c>
      <c r="D236" s="6" t="n">
        <v>0.5992330268933961</v>
      </c>
      <c r="E236" s="6" t="n">
        <v>0.1315294132620313</v>
      </c>
      <c r="F236" s="6" t="n">
        <v>0.1966648294981987</v>
      </c>
      <c r="G236" s="6" t="n">
        <v>235</v>
      </c>
      <c r="H236" s="6" t="n">
        <v>226</v>
      </c>
      <c r="I236" s="6" t="inlineStr">
        <is>
          <t>***投资发展有限责任公司</t>
        </is>
      </c>
      <c r="J236" s="6" t="b">
        <v>0</v>
      </c>
      <c r="K236" s="6" t="inlineStr">
        <is>
          <t>其他</t>
        </is>
      </c>
      <c r="L236" s="6" t="n">
        <v>0.3</v>
      </c>
      <c r="M236" s="6" t="n">
        <v>1</v>
      </c>
      <c r="N236" s="6" t="n">
        <v>0.233180052290264</v>
      </c>
      <c r="O236" s="6" t="inlineStr">
        <is>
          <t>C</t>
        </is>
      </c>
      <c r="P236" s="6" t="n">
        <v>0</v>
      </c>
      <c r="Q236" s="6" t="n">
        <v>0.15</v>
      </c>
      <c r="R236" s="6" t="n">
        <v>0.8951647386620309</v>
      </c>
      <c r="S236" s="6" t="n">
        <v>-0.005229711123242201</v>
      </c>
      <c r="T236" s="6" t="inlineStr"/>
      <c r="U236" s="6" t="n">
        <v>0</v>
      </c>
      <c r="V236" s="6" t="n">
        <v>0</v>
      </c>
      <c r="W236" s="6" t="n">
        <v>0</v>
      </c>
      <c r="X236" s="6" t="n">
        <v>0</v>
      </c>
      <c r="Y236" s="6" t="n">
        <v>0</v>
      </c>
      <c r="Z236" s="6" t="n">
        <v>0</v>
      </c>
      <c r="AA236" s="9">
        <f>P236*(1-R236)*((1-B236)*Q236-B236*'模型说明与假设'!$B$7-'模型说明与假设'!$B$8)</f>
        <v/>
      </c>
      <c r="AB236" s="6" t="b">
        <v>0</v>
      </c>
      <c r="AC236" s="6" t="n">
        <v>0.233180052290264</v>
      </c>
      <c r="AD236" s="6" t="inlineStr">
        <is>
          <t>C</t>
        </is>
      </c>
      <c r="AE236" s="6" t="n">
        <v>0</v>
      </c>
      <c r="AF236" s="6" t="n">
        <v>0.15</v>
      </c>
      <c r="AG236" s="6" t="n">
        <v>0.8951647386620309</v>
      </c>
      <c r="AH236" s="6" t="n">
        <v>0</v>
      </c>
    </row>
    <row r="237">
      <c r="A237" s="6" t="inlineStr">
        <is>
          <t>E412</t>
        </is>
      </c>
      <c r="B237" s="6" t="n">
        <v>0.2614700923425318</v>
      </c>
      <c r="C237" s="6" t="inlineStr">
        <is>
          <t>C</t>
        </is>
      </c>
      <c r="D237" s="6" t="n">
        <v>0.6139524122026562</v>
      </c>
      <c r="E237" s="6" t="n">
        <v>0.1275014585308706</v>
      </c>
      <c r="F237" s="6" t="n">
        <v>0.2027724832345748</v>
      </c>
      <c r="G237" s="6" t="n">
        <v>236</v>
      </c>
      <c r="H237" s="6" t="n">
        <v>212</v>
      </c>
      <c r="I237" s="6" t="inlineStr">
        <is>
          <t>***汽车贸易有限公司</t>
        </is>
      </c>
      <c r="J237" s="6" t="b">
        <v>0</v>
      </c>
      <c r="K237" s="6" t="inlineStr">
        <is>
          <t>中度负面</t>
        </is>
      </c>
      <c r="L237" s="6" t="n">
        <v>0.9</v>
      </c>
      <c r="M237" s="6" t="n">
        <v>1.15</v>
      </c>
      <c r="N237" s="6" t="n">
        <v>0.2353933391848287</v>
      </c>
      <c r="O237" s="6" t="inlineStr">
        <is>
          <t>C</t>
        </is>
      </c>
      <c r="P237" s="6" t="n">
        <v>0</v>
      </c>
      <c r="Q237" s="6" t="n">
        <v>0.15</v>
      </c>
      <c r="R237" s="6" t="n">
        <v>0.8951647386620309</v>
      </c>
      <c r="S237" s="6" t="n">
        <v>-0.007454056429848037</v>
      </c>
      <c r="T237" s="6" t="inlineStr"/>
      <c r="U237" s="6" t="n">
        <v>0</v>
      </c>
      <c r="V237" s="6" t="n">
        <v>0</v>
      </c>
      <c r="W237" s="6" t="n">
        <v>0</v>
      </c>
      <c r="X237" s="6" t="n">
        <v>0</v>
      </c>
      <c r="Y237" s="6" t="n">
        <v>0</v>
      </c>
      <c r="Z237" s="6" t="n">
        <v>0</v>
      </c>
      <c r="AA237" s="9">
        <f>P237*(1-R237)*((1-B237)*Q237-B237*'模型说明与假设'!$B$7-'模型说明与假设'!$B$8)</f>
        <v/>
      </c>
      <c r="AB237" s="6" t="b">
        <v>0</v>
      </c>
      <c r="AC237" s="6" t="n">
        <v>0.2353933391848287</v>
      </c>
      <c r="AD237" s="6" t="inlineStr">
        <is>
          <t>C</t>
        </is>
      </c>
      <c r="AE237" s="6" t="n">
        <v>0</v>
      </c>
      <c r="AF237" s="6" t="n">
        <v>0.15</v>
      </c>
      <c r="AG237" s="6" t="n">
        <v>0.8951647386620309</v>
      </c>
      <c r="AH237" s="6" t="n">
        <v>0</v>
      </c>
    </row>
    <row r="238">
      <c r="A238" s="6" t="inlineStr">
        <is>
          <t>E323</t>
        </is>
      </c>
      <c r="B238" s="6" t="n">
        <v>0.2714117751508404</v>
      </c>
      <c r="C238" s="6" t="inlineStr">
        <is>
          <t>C</t>
        </is>
      </c>
      <c r="D238" s="6" t="n">
        <v>0.6699425008804905</v>
      </c>
      <c r="E238" s="6" t="n">
        <v>0.1023030020905442</v>
      </c>
      <c r="F238" s="6" t="n">
        <v>0.2076520886541191</v>
      </c>
      <c r="G238" s="6" t="n">
        <v>237</v>
      </c>
      <c r="H238" s="6" t="n">
        <v>159</v>
      </c>
      <c r="I238" s="6" t="inlineStr">
        <is>
          <t>***建筑装饰工程有限公司</t>
        </is>
      </c>
      <c r="J238" s="6" t="b">
        <v>0</v>
      </c>
      <c r="K238" s="6" t="inlineStr">
        <is>
          <t>中度负面</t>
        </is>
      </c>
      <c r="L238" s="6" t="n">
        <v>0.9</v>
      </c>
      <c r="M238" s="6" t="n">
        <v>1.15</v>
      </c>
      <c r="N238" s="6" t="n">
        <v>0.2446720039920159</v>
      </c>
      <c r="O238" s="6" t="inlineStr">
        <is>
          <t>C</t>
        </is>
      </c>
      <c r="P238" s="6" t="n">
        <v>0</v>
      </c>
      <c r="Q238" s="6" t="n">
        <v>0.15</v>
      </c>
      <c r="R238" s="6" t="n">
        <v>0.8951647386620309</v>
      </c>
      <c r="S238" s="6" t="n">
        <v>-0.008235735616359202</v>
      </c>
      <c r="T238" s="6" t="inlineStr"/>
      <c r="U238" s="6" t="n">
        <v>0</v>
      </c>
      <c r="V238" s="6" t="n">
        <v>0</v>
      </c>
      <c r="W238" s="6" t="n">
        <v>0</v>
      </c>
      <c r="X238" s="6" t="n">
        <v>0</v>
      </c>
      <c r="Y238" s="6" t="n">
        <v>0</v>
      </c>
      <c r="Z238" s="6" t="n">
        <v>0</v>
      </c>
      <c r="AA238" s="9">
        <f>P238*(1-R238)*((1-B238)*Q238-B238*'模型说明与假设'!$B$7-'模型说明与假设'!$B$8)</f>
        <v/>
      </c>
      <c r="AB238" s="6" t="b">
        <v>0</v>
      </c>
      <c r="AC238" s="6" t="n">
        <v>0.2446720039920159</v>
      </c>
      <c r="AD238" s="6" t="inlineStr">
        <is>
          <t>C</t>
        </is>
      </c>
      <c r="AE238" s="6" t="n">
        <v>0</v>
      </c>
      <c r="AF238" s="6" t="n">
        <v>0.15</v>
      </c>
      <c r="AG238" s="6" t="n">
        <v>0.8951647386620309</v>
      </c>
      <c r="AH238" s="6" t="n">
        <v>0</v>
      </c>
    </row>
    <row r="239">
      <c r="A239" s="6" t="inlineStr">
        <is>
          <t>E350</t>
        </is>
      </c>
      <c r="B239" s="6" t="n">
        <v>0.2482011061531414</v>
      </c>
      <c r="C239" s="6" t="inlineStr">
        <is>
          <t>C</t>
        </is>
      </c>
      <c r="D239" s="6" t="n">
        <v>0.6609993075758169</v>
      </c>
      <c r="E239" s="6" t="n">
        <v>0.1055583400018116</v>
      </c>
      <c r="F239" s="6" t="n">
        <v>0.2058225579160284</v>
      </c>
      <c r="G239" s="6" t="n">
        <v>238</v>
      </c>
      <c r="H239" s="6" t="n">
        <v>168</v>
      </c>
      <c r="I239" s="6" t="inlineStr">
        <is>
          <t>***演艺设备有限公司</t>
        </is>
      </c>
      <c r="J239" s="6" t="b">
        <v>0</v>
      </c>
      <c r="K239" s="6" t="inlineStr">
        <is>
          <t>其他</t>
        </is>
      </c>
      <c r="L239" s="6" t="n">
        <v>0.3</v>
      </c>
      <c r="M239" s="6" t="n">
        <v>1</v>
      </c>
      <c r="N239" s="6" t="n">
        <v>0.2482011061531414</v>
      </c>
      <c r="O239" s="6" t="inlineStr">
        <is>
          <t>C</t>
        </is>
      </c>
      <c r="P239" s="6" t="n">
        <v>0</v>
      </c>
      <c r="Q239" s="6" t="n">
        <v>0.15</v>
      </c>
      <c r="R239" s="6" t="n">
        <v>0.8951647386620309</v>
      </c>
      <c r="S239" s="6" t="n">
        <v>-0.006410763203707056</v>
      </c>
      <c r="T239" s="6" t="inlineStr"/>
      <c r="U239" s="6" t="n">
        <v>0</v>
      </c>
      <c r="V239" s="6" t="n">
        <v>0</v>
      </c>
      <c r="W239" s="6" t="n">
        <v>0</v>
      </c>
      <c r="X239" s="6" t="n">
        <v>0</v>
      </c>
      <c r="Y239" s="6" t="n">
        <v>0</v>
      </c>
      <c r="Z239" s="6" t="n">
        <v>0</v>
      </c>
      <c r="AA239" s="9">
        <f>P239*(1-R239)*((1-B239)*Q239-B239*'模型说明与假设'!$B$7-'模型说明与假设'!$B$8)</f>
        <v/>
      </c>
      <c r="AB239" s="6" t="b">
        <v>0</v>
      </c>
      <c r="AC239" s="6" t="n">
        <v>0.2482011061531414</v>
      </c>
      <c r="AD239" s="6" t="inlineStr">
        <is>
          <t>C</t>
        </is>
      </c>
      <c r="AE239" s="6" t="n">
        <v>0</v>
      </c>
      <c r="AF239" s="6" t="n">
        <v>0.15</v>
      </c>
      <c r="AG239" s="6" t="n">
        <v>0.8951647386620309</v>
      </c>
      <c r="AH239" s="6" t="n">
        <v>0</v>
      </c>
    </row>
    <row r="240">
      <c r="A240" s="6" t="inlineStr">
        <is>
          <t>E379</t>
        </is>
      </c>
      <c r="B240" s="6" t="n">
        <v>0.2584538464880226</v>
      </c>
      <c r="C240" s="6" t="inlineStr">
        <is>
          <t>C</t>
        </is>
      </c>
      <c r="D240" s="6" t="n">
        <v>0.6214080425579221</v>
      </c>
      <c r="E240" s="6" t="n">
        <v>0.1228307481399797</v>
      </c>
      <c r="F240" s="6" t="n">
        <v>0.2016102383243775</v>
      </c>
      <c r="G240" s="6" t="n">
        <v>239</v>
      </c>
      <c r="H240" s="6" t="n">
        <v>204</v>
      </c>
      <c r="I240" s="6" t="inlineStr">
        <is>
          <t>***药业有限公司</t>
        </is>
      </c>
      <c r="J240" s="6" t="b">
        <v>0</v>
      </c>
      <c r="K240" s="6" t="inlineStr">
        <is>
          <t>其他</t>
        </is>
      </c>
      <c r="L240" s="6" t="n">
        <v>0.3</v>
      </c>
      <c r="M240" s="6" t="n">
        <v>1</v>
      </c>
      <c r="N240" s="6" t="n">
        <v>0.2584538464880226</v>
      </c>
      <c r="O240" s="6" t="inlineStr">
        <is>
          <t>C</t>
        </is>
      </c>
      <c r="P240" s="6" t="n">
        <v>0</v>
      </c>
      <c r="Q240" s="6" t="n">
        <v>0.15</v>
      </c>
      <c r="R240" s="6" t="n">
        <v>0.8951647386620309</v>
      </c>
      <c r="S240" s="6" t="n">
        <v>-0.007216899738035255</v>
      </c>
      <c r="T240" s="6" t="inlineStr"/>
      <c r="U240" s="6" t="n">
        <v>0</v>
      </c>
      <c r="V240" s="6" t="n">
        <v>0</v>
      </c>
      <c r="W240" s="6" t="n">
        <v>0</v>
      </c>
      <c r="X240" s="6" t="n">
        <v>0</v>
      </c>
      <c r="Y240" s="6" t="n">
        <v>0</v>
      </c>
      <c r="Z240" s="6" t="n">
        <v>0</v>
      </c>
      <c r="AA240" s="9">
        <f>P240*(1-R240)*((1-B240)*Q240-B240*'模型说明与假设'!$B$7-'模型说明与假设'!$B$8)</f>
        <v/>
      </c>
      <c r="AB240" s="6" t="b">
        <v>0</v>
      </c>
      <c r="AC240" s="6" t="n">
        <v>0.2584538464880226</v>
      </c>
      <c r="AD240" s="6" t="inlineStr">
        <is>
          <t>C</t>
        </is>
      </c>
      <c r="AE240" s="6" t="n">
        <v>0</v>
      </c>
      <c r="AF240" s="6" t="n">
        <v>0.15</v>
      </c>
      <c r="AG240" s="6" t="n">
        <v>0.8951647386620309</v>
      </c>
      <c r="AH240" s="6" t="n">
        <v>0</v>
      </c>
    </row>
    <row r="241">
      <c r="A241" s="6" t="inlineStr">
        <is>
          <t>E389</t>
        </is>
      </c>
      <c r="B241" s="6" t="n">
        <v>0.259512925262934</v>
      </c>
      <c r="C241" s="6" t="inlineStr">
        <is>
          <t>C</t>
        </is>
      </c>
      <c r="D241" s="6" t="n">
        <v>0.5597870153124482</v>
      </c>
      <c r="E241" s="6" t="n">
        <v>0.1519361423230091</v>
      </c>
      <c r="F241" s="6" t="n">
        <v>0.1932062037866773</v>
      </c>
      <c r="G241" s="6" t="n">
        <v>240</v>
      </c>
      <c r="H241" s="6" t="n">
        <v>255</v>
      </c>
      <c r="I241" s="6" t="inlineStr">
        <is>
          <t>***清洁服务有限公司</t>
        </is>
      </c>
      <c r="J241" s="6" t="b">
        <v>0</v>
      </c>
      <c r="K241" s="6" t="inlineStr">
        <is>
          <t>其他</t>
        </is>
      </c>
      <c r="L241" s="6" t="n">
        <v>0.3</v>
      </c>
      <c r="M241" s="6" t="n">
        <v>1</v>
      </c>
      <c r="N241" s="6" t="n">
        <v>0.259512925262934</v>
      </c>
      <c r="O241" s="6" t="inlineStr">
        <is>
          <t>C</t>
        </is>
      </c>
      <c r="P241" s="6" t="n">
        <v>0</v>
      </c>
      <c r="Q241" s="6" t="n">
        <v>0.15</v>
      </c>
      <c r="R241" s="6" t="n">
        <v>0.8951647386620309</v>
      </c>
      <c r="S241" s="6" t="n">
        <v>-0.007300171338144258</v>
      </c>
      <c r="T241" s="6" t="inlineStr"/>
      <c r="U241" s="6" t="n">
        <v>0</v>
      </c>
      <c r="V241" s="6" t="n">
        <v>0</v>
      </c>
      <c r="W241" s="6" t="n">
        <v>0</v>
      </c>
      <c r="X241" s="6" t="n">
        <v>0</v>
      </c>
      <c r="Y241" s="6" t="n">
        <v>0</v>
      </c>
      <c r="Z241" s="6" t="n">
        <v>0</v>
      </c>
      <c r="AA241" s="9">
        <f>P241*(1-R241)*((1-B241)*Q241-B241*'模型说明与假设'!$B$7-'模型说明与假设'!$B$8)</f>
        <v/>
      </c>
      <c r="AB241" s="6" t="b">
        <v>0</v>
      </c>
      <c r="AC241" s="6" t="n">
        <v>0.259512925262934</v>
      </c>
      <c r="AD241" s="6" t="inlineStr">
        <is>
          <t>C</t>
        </is>
      </c>
      <c r="AE241" s="6" t="n">
        <v>0</v>
      </c>
      <c r="AF241" s="6" t="n">
        <v>0.15</v>
      </c>
      <c r="AG241" s="6" t="n">
        <v>0.8951647386620309</v>
      </c>
      <c r="AH241" s="6" t="n">
        <v>0</v>
      </c>
    </row>
    <row r="242">
      <c r="A242" s="6" t="inlineStr">
        <is>
          <t>E363</t>
        </is>
      </c>
      <c r="B242" s="6" t="n">
        <v>0.2892245585345561</v>
      </c>
      <c r="C242" s="6" t="inlineStr">
        <is>
          <t>C</t>
        </is>
      </c>
      <c r="D242" s="6" t="n">
        <v>0.6285493904199223</v>
      </c>
      <c r="E242" s="6" t="n">
        <v>0.1180918038593001</v>
      </c>
      <c r="F242" s="6" t="n">
        <v>0.1998288047319795</v>
      </c>
      <c r="G242" s="6" t="n">
        <v>241</v>
      </c>
      <c r="H242" s="6" t="n">
        <v>197</v>
      </c>
      <c r="I242" s="6" t="inlineStr">
        <is>
          <t>***建筑工程设计有限公司</t>
        </is>
      </c>
      <c r="J242" s="6" t="b">
        <v>0</v>
      </c>
      <c r="K242" s="6" t="inlineStr">
        <is>
          <t>中度负面</t>
        </is>
      </c>
      <c r="L242" s="6" t="n">
        <v>0.9</v>
      </c>
      <c r="M242" s="6" t="n">
        <v>1.15</v>
      </c>
      <c r="N242" s="6" t="n">
        <v>0.261359383821976</v>
      </c>
      <c r="O242" s="6" t="inlineStr">
        <is>
          <t>C</t>
        </is>
      </c>
      <c r="P242" s="6" t="n">
        <v>0</v>
      </c>
      <c r="Q242" s="6" t="n">
        <v>0.15</v>
      </c>
      <c r="R242" s="6" t="n">
        <v>0.8951647386620309</v>
      </c>
      <c r="S242" s="6" t="n">
        <v>-0.009636291467250558</v>
      </c>
      <c r="T242" s="6" t="inlineStr"/>
      <c r="U242" s="6" t="n">
        <v>0</v>
      </c>
      <c r="V242" s="6" t="n">
        <v>0</v>
      </c>
      <c r="W242" s="6" t="n">
        <v>0</v>
      </c>
      <c r="X242" s="6" t="n">
        <v>0</v>
      </c>
      <c r="Y242" s="6" t="n">
        <v>0</v>
      </c>
      <c r="Z242" s="6" t="n">
        <v>0</v>
      </c>
      <c r="AA242" s="9">
        <f>P242*(1-R242)*((1-B242)*Q242-B242*'模型说明与假设'!$B$7-'模型说明与假设'!$B$8)</f>
        <v/>
      </c>
      <c r="AB242" s="6" t="b">
        <v>0</v>
      </c>
      <c r="AC242" s="6" t="n">
        <v>0.261359383821976</v>
      </c>
      <c r="AD242" s="6" t="inlineStr">
        <is>
          <t>C</t>
        </is>
      </c>
      <c r="AE242" s="6" t="n">
        <v>0</v>
      </c>
      <c r="AF242" s="6" t="n">
        <v>0.15</v>
      </c>
      <c r="AG242" s="6" t="n">
        <v>0.8951647386620309</v>
      </c>
      <c r="AH242" s="6" t="n">
        <v>0</v>
      </c>
    </row>
    <row r="243">
      <c r="A243" s="6" t="inlineStr">
        <is>
          <t>E403</t>
        </is>
      </c>
      <c r="B243" s="6" t="n">
        <v>0.2691455092163904</v>
      </c>
      <c r="C243" s="6" t="inlineStr">
        <is>
          <t>C</t>
        </is>
      </c>
      <c r="D243" s="6" t="n">
        <v>0.6212373302897494</v>
      </c>
      <c r="E243" s="6" t="n">
        <v>0.1259434095419049</v>
      </c>
      <c r="F243" s="6" t="n">
        <v>0.2065693210243102</v>
      </c>
      <c r="G243" s="6" t="n">
        <v>242</v>
      </c>
      <c r="H243" s="6" t="n">
        <v>205</v>
      </c>
      <c r="I243" s="6" t="inlineStr">
        <is>
          <t>***机械有限公司</t>
        </is>
      </c>
      <c r="J243" s="6" t="b">
        <v>0</v>
      </c>
      <c r="K243" s="6" t="inlineStr">
        <is>
          <t>其他</t>
        </is>
      </c>
      <c r="L243" s="6" t="n">
        <v>0.3</v>
      </c>
      <c r="M243" s="6" t="n">
        <v>1</v>
      </c>
      <c r="N243" s="6" t="n">
        <v>0.2691455092163904</v>
      </c>
      <c r="O243" s="6" t="inlineStr">
        <is>
          <t>C</t>
        </is>
      </c>
      <c r="P243" s="6" t="n">
        <v>0</v>
      </c>
      <c r="Q243" s="6" t="n">
        <v>0.15</v>
      </c>
      <c r="R243" s="6" t="n">
        <v>0.8951647386620309</v>
      </c>
      <c r="S243" s="6" t="n">
        <v>-0.00805754718023465</v>
      </c>
      <c r="T243" s="6" t="inlineStr"/>
      <c r="U243" s="6" t="n">
        <v>0</v>
      </c>
      <c r="V243" s="6" t="n">
        <v>0</v>
      </c>
      <c r="W243" s="6" t="n">
        <v>0</v>
      </c>
      <c r="X243" s="6" t="n">
        <v>0</v>
      </c>
      <c r="Y243" s="6" t="n">
        <v>0</v>
      </c>
      <c r="Z243" s="6" t="n">
        <v>0</v>
      </c>
      <c r="AA243" s="9">
        <f>P243*(1-R243)*((1-B243)*Q243-B243*'模型说明与假设'!$B$7-'模型说明与假设'!$B$8)</f>
        <v/>
      </c>
      <c r="AB243" s="6" t="b">
        <v>0</v>
      </c>
      <c r="AC243" s="6" t="n">
        <v>0.2691455092163904</v>
      </c>
      <c r="AD243" s="6" t="inlineStr">
        <is>
          <t>C</t>
        </is>
      </c>
      <c r="AE243" s="6" t="n">
        <v>0</v>
      </c>
      <c r="AF243" s="6" t="n">
        <v>0.15</v>
      </c>
      <c r="AG243" s="6" t="n">
        <v>0.8951647386620309</v>
      </c>
      <c r="AH243" s="6" t="n">
        <v>0</v>
      </c>
    </row>
    <row r="244">
      <c r="A244" s="6" t="inlineStr">
        <is>
          <t>E409</t>
        </is>
      </c>
      <c r="B244" s="6" t="n">
        <v>0.2712380138984369</v>
      </c>
      <c r="C244" s="6" t="inlineStr">
        <is>
          <t>C</t>
        </is>
      </c>
      <c r="D244" s="6" t="n">
        <v>0.599858965581021</v>
      </c>
      <c r="E244" s="6" t="n">
        <v>0.1321611541999087</v>
      </c>
      <c r="F244" s="6" t="n">
        <v>0.1981252769125917</v>
      </c>
      <c r="G244" s="6" t="n">
        <v>243</v>
      </c>
      <c r="H244" s="6" t="n">
        <v>225</v>
      </c>
      <c r="I244" s="6" t="inlineStr">
        <is>
          <t>***塑胶有限公司</t>
        </is>
      </c>
      <c r="J244" s="6" t="b">
        <v>0</v>
      </c>
      <c r="K244" s="6" t="inlineStr">
        <is>
          <t>其他</t>
        </is>
      </c>
      <c r="L244" s="6" t="n">
        <v>0.3</v>
      </c>
      <c r="M244" s="6" t="n">
        <v>1</v>
      </c>
      <c r="N244" s="6" t="n">
        <v>0.2712380138984369</v>
      </c>
      <c r="O244" s="6" t="inlineStr">
        <is>
          <t>C</t>
        </is>
      </c>
      <c r="P244" s="6" t="n">
        <v>0</v>
      </c>
      <c r="Q244" s="6" t="n">
        <v>0.15</v>
      </c>
      <c r="R244" s="6" t="n">
        <v>0.8951647386620309</v>
      </c>
      <c r="S244" s="6" t="n">
        <v>-0.008222073386629605</v>
      </c>
      <c r="T244" s="6" t="inlineStr"/>
      <c r="U244" s="6" t="n">
        <v>0</v>
      </c>
      <c r="V244" s="6" t="n">
        <v>0</v>
      </c>
      <c r="W244" s="6" t="n">
        <v>0</v>
      </c>
      <c r="X244" s="6" t="n">
        <v>0</v>
      </c>
      <c r="Y244" s="6" t="n">
        <v>0</v>
      </c>
      <c r="Z244" s="6" t="n">
        <v>0</v>
      </c>
      <c r="AA244" s="9">
        <f>P244*(1-R244)*((1-B244)*Q244-B244*'模型说明与假设'!$B$7-'模型说明与假设'!$B$8)</f>
        <v/>
      </c>
      <c r="AB244" s="6" t="b">
        <v>0</v>
      </c>
      <c r="AC244" s="6" t="n">
        <v>0.2712380138984369</v>
      </c>
      <c r="AD244" s="6" t="inlineStr">
        <is>
          <t>C</t>
        </is>
      </c>
      <c r="AE244" s="6" t="n">
        <v>0</v>
      </c>
      <c r="AF244" s="6" t="n">
        <v>0.15</v>
      </c>
      <c r="AG244" s="6" t="n">
        <v>0.8951647386620309</v>
      </c>
      <c r="AH244" s="6" t="n">
        <v>0</v>
      </c>
    </row>
    <row r="245">
      <c r="A245" s="6" t="inlineStr">
        <is>
          <t>E293</t>
        </is>
      </c>
      <c r="B245" s="6" t="n">
        <v>0.2755144608310387</v>
      </c>
      <c r="C245" s="6" t="inlineStr">
        <is>
          <t>C</t>
        </is>
      </c>
      <c r="D245" s="6" t="n">
        <v>0.6180334962965813</v>
      </c>
      <c r="E245" s="6" t="n">
        <v>0.1206463155213185</v>
      </c>
      <c r="F245" s="6" t="n">
        <v>0.1952094319109103</v>
      </c>
      <c r="G245" s="6" t="n">
        <v>244</v>
      </c>
      <c r="H245" s="6" t="n">
        <v>207</v>
      </c>
      <c r="I245" s="6" t="inlineStr">
        <is>
          <t>***物资有限公司</t>
        </is>
      </c>
      <c r="J245" s="6" t="b">
        <v>0</v>
      </c>
      <c r="K245" s="6" t="inlineStr">
        <is>
          <t>其他</t>
        </is>
      </c>
      <c r="L245" s="6" t="n">
        <v>0.3</v>
      </c>
      <c r="M245" s="6" t="n">
        <v>1</v>
      </c>
      <c r="N245" s="6" t="n">
        <v>0.2755144608310387</v>
      </c>
      <c r="O245" s="6" t="inlineStr">
        <is>
          <t>C</t>
        </is>
      </c>
      <c r="P245" s="6" t="n">
        <v>0</v>
      </c>
      <c r="Q245" s="6" t="n">
        <v>0.15</v>
      </c>
      <c r="R245" s="6" t="n">
        <v>0.8951647386620309</v>
      </c>
      <c r="S245" s="6" t="n">
        <v>-0.008558315210462554</v>
      </c>
      <c r="T245" s="6" t="inlineStr"/>
      <c r="U245" s="6" t="n">
        <v>0</v>
      </c>
      <c r="V245" s="6" t="n">
        <v>0</v>
      </c>
      <c r="W245" s="6" t="n">
        <v>0</v>
      </c>
      <c r="X245" s="6" t="n">
        <v>0</v>
      </c>
      <c r="Y245" s="6" t="n">
        <v>0</v>
      </c>
      <c r="Z245" s="6" t="n">
        <v>0</v>
      </c>
      <c r="AA245" s="9">
        <f>P245*(1-R245)*((1-B245)*Q245-B245*'模型说明与假设'!$B$7-'模型说明与假设'!$B$8)</f>
        <v/>
      </c>
      <c r="AB245" s="6" t="b">
        <v>0</v>
      </c>
      <c r="AC245" s="6" t="n">
        <v>0.2755144608310387</v>
      </c>
      <c r="AD245" s="6" t="inlineStr">
        <is>
          <t>C</t>
        </is>
      </c>
      <c r="AE245" s="6" t="n">
        <v>0</v>
      </c>
      <c r="AF245" s="6" t="n">
        <v>0.15</v>
      </c>
      <c r="AG245" s="6" t="n">
        <v>0.8951647386620309</v>
      </c>
      <c r="AH245" s="6" t="n">
        <v>0</v>
      </c>
    </row>
    <row r="246">
      <c r="A246" s="6" t="inlineStr">
        <is>
          <t>E324</t>
        </is>
      </c>
      <c r="B246" s="6" t="n">
        <v>0.2827724170314503</v>
      </c>
      <c r="C246" s="6" t="inlineStr">
        <is>
          <t>C</t>
        </is>
      </c>
      <c r="D246" s="6" t="n">
        <v>0.4789334280141597</v>
      </c>
      <c r="E246" s="6" t="n">
        <v>0.1845520025227158</v>
      </c>
      <c r="F246" s="6" t="n">
        <v>0.1696292335127651</v>
      </c>
      <c r="G246" s="6" t="n">
        <v>245</v>
      </c>
      <c r="H246" s="6" t="n">
        <v>289</v>
      </c>
      <c r="I246" s="6" t="inlineStr">
        <is>
          <t>***汽贸有限公司</t>
        </is>
      </c>
      <c r="J246" s="6" t="b">
        <v>0</v>
      </c>
      <c r="K246" s="6" t="inlineStr">
        <is>
          <t>其他</t>
        </is>
      </c>
      <c r="L246" s="6" t="n">
        <v>0.3</v>
      </c>
      <c r="M246" s="6" t="n">
        <v>1</v>
      </c>
      <c r="N246" s="6" t="n">
        <v>0.2827724170314503</v>
      </c>
      <c r="O246" s="6" t="inlineStr">
        <is>
          <t>C</t>
        </is>
      </c>
      <c r="P246" s="6" t="n">
        <v>0</v>
      </c>
      <c r="Q246" s="6" t="n">
        <v>0.15</v>
      </c>
      <c r="R246" s="6" t="n">
        <v>0.8951647386620309</v>
      </c>
      <c r="S246" s="6" t="n">
        <v>-0.009128982511749815</v>
      </c>
      <c r="T246" s="6" t="inlineStr"/>
      <c r="U246" s="6" t="n">
        <v>0</v>
      </c>
      <c r="V246" s="6" t="n">
        <v>0</v>
      </c>
      <c r="W246" s="6" t="n">
        <v>0</v>
      </c>
      <c r="X246" s="6" t="n">
        <v>0</v>
      </c>
      <c r="Y246" s="6" t="n">
        <v>0</v>
      </c>
      <c r="Z246" s="6" t="n">
        <v>0</v>
      </c>
      <c r="AA246" s="9">
        <f>P246*(1-R246)*((1-B246)*Q246-B246*'模型说明与假设'!$B$7-'模型说明与假设'!$B$8)</f>
        <v/>
      </c>
      <c r="AB246" s="6" t="b">
        <v>0</v>
      </c>
      <c r="AC246" s="6" t="n">
        <v>0.2827724170314503</v>
      </c>
      <c r="AD246" s="6" t="inlineStr">
        <is>
          <t>C</t>
        </is>
      </c>
      <c r="AE246" s="6" t="n">
        <v>0</v>
      </c>
      <c r="AF246" s="6" t="n">
        <v>0.15</v>
      </c>
      <c r="AG246" s="6" t="n">
        <v>0.8951647386620309</v>
      </c>
      <c r="AH246" s="6" t="n">
        <v>0</v>
      </c>
    </row>
    <row r="247">
      <c r="A247" s="6" t="inlineStr">
        <is>
          <t>E362</t>
        </is>
      </c>
      <c r="B247" s="6" t="n">
        <v>0.3315401072727047</v>
      </c>
      <c r="C247" s="6" t="inlineStr">
        <is>
          <t>C</t>
        </is>
      </c>
      <c r="D247" s="6" t="n">
        <v>0.5765258013562131</v>
      </c>
      <c r="E247" s="6" t="n">
        <v>0.1414329026330095</v>
      </c>
      <c r="F247" s="6" t="n">
        <v>0.1925494346285302</v>
      </c>
      <c r="G247" s="6" t="n">
        <v>246</v>
      </c>
      <c r="H247" s="6" t="n">
        <v>244</v>
      </c>
      <c r="I247" s="6" t="inlineStr">
        <is>
          <t>***建材有限公司</t>
        </is>
      </c>
      <c r="J247" s="6" t="b">
        <v>0</v>
      </c>
      <c r="K247" s="6" t="inlineStr">
        <is>
          <t>中度负面</t>
        </is>
      </c>
      <c r="L247" s="6" t="n">
        <v>0.9</v>
      </c>
      <c r="M247" s="6" t="n">
        <v>1.15</v>
      </c>
      <c r="N247" s="6" t="n">
        <v>0.3013264139236129</v>
      </c>
      <c r="O247" s="6" t="inlineStr">
        <is>
          <t>C</t>
        </is>
      </c>
      <c r="P247" s="6" t="n">
        <v>0</v>
      </c>
      <c r="Q247" s="6" t="n">
        <v>0.15</v>
      </c>
      <c r="R247" s="6" t="n">
        <v>0.8951647386620309</v>
      </c>
      <c r="S247" s="6" t="n">
        <v>-0.01296341267521809</v>
      </c>
      <c r="T247" s="6" t="inlineStr"/>
      <c r="U247" s="6" t="n">
        <v>0</v>
      </c>
      <c r="V247" s="6" t="n">
        <v>0</v>
      </c>
      <c r="W247" s="6" t="n">
        <v>0</v>
      </c>
      <c r="X247" s="6" t="n">
        <v>0</v>
      </c>
      <c r="Y247" s="6" t="n">
        <v>0</v>
      </c>
      <c r="Z247" s="6" t="n">
        <v>0</v>
      </c>
      <c r="AA247" s="9">
        <f>P247*(1-R247)*((1-B247)*Q247-B247*'模型说明与假设'!$B$7-'模型说明与假设'!$B$8)</f>
        <v/>
      </c>
      <c r="AB247" s="6" t="b">
        <v>0</v>
      </c>
      <c r="AC247" s="6" t="n">
        <v>0.3013264139236129</v>
      </c>
      <c r="AD247" s="6" t="inlineStr">
        <is>
          <t>C</t>
        </is>
      </c>
      <c r="AE247" s="6" t="n">
        <v>0</v>
      </c>
      <c r="AF247" s="6" t="n">
        <v>0.15</v>
      </c>
      <c r="AG247" s="6" t="n">
        <v>0.8951647386620309</v>
      </c>
      <c r="AH247" s="6" t="n">
        <v>0</v>
      </c>
    </row>
    <row r="248">
      <c r="A248" s="6" t="inlineStr">
        <is>
          <t>E395</t>
        </is>
      </c>
      <c r="B248" s="6" t="n">
        <v>0.2802901975602449</v>
      </c>
      <c r="C248" s="6" t="inlineStr">
        <is>
          <t>C</t>
        </is>
      </c>
      <c r="D248" s="6" t="n">
        <v>0.6006812532041108</v>
      </c>
      <c r="E248" s="6" t="n">
        <v>0.1341912883048706</v>
      </c>
      <c r="F248" s="6" t="n">
        <v>0.2018592712584203</v>
      </c>
      <c r="G248" s="6" t="n">
        <v>247</v>
      </c>
      <c r="H248" s="6" t="n">
        <v>221</v>
      </c>
      <c r="I248" s="6" t="inlineStr">
        <is>
          <t>***网络科技有限公司</t>
        </is>
      </c>
      <c r="J248" s="6" t="b">
        <v>0</v>
      </c>
      <c r="K248" s="6" t="inlineStr">
        <is>
          <t>正面/轻影响</t>
        </is>
      </c>
      <c r="L248" s="6" t="n">
        <v>0.9</v>
      </c>
      <c r="M248" s="6" t="n">
        <v>0.9</v>
      </c>
      <c r="N248" s="6" t="n">
        <v>0.3020274060329839</v>
      </c>
      <c r="O248" s="6" t="inlineStr">
        <is>
          <t>C</t>
        </is>
      </c>
      <c r="P248" s="6" t="n">
        <v>0</v>
      </c>
      <c r="Q248" s="6" t="n">
        <v>0.15</v>
      </c>
      <c r="R248" s="6" t="n">
        <v>0.8951647386620309</v>
      </c>
      <c r="S248" s="6" t="n">
        <v>-0.00893381441652831</v>
      </c>
      <c r="T248" s="6" t="inlineStr"/>
      <c r="U248" s="6" t="n">
        <v>0</v>
      </c>
      <c r="V248" s="6" t="n">
        <v>0</v>
      </c>
      <c r="W248" s="6" t="n">
        <v>0</v>
      </c>
      <c r="X248" s="6" t="n">
        <v>0</v>
      </c>
      <c r="Y248" s="6" t="n">
        <v>0</v>
      </c>
      <c r="Z248" s="6" t="n">
        <v>0</v>
      </c>
      <c r="AA248" s="9">
        <f>P248*(1-R248)*((1-B248)*Q248-B248*'模型说明与假设'!$B$7-'模型说明与假设'!$B$8)</f>
        <v/>
      </c>
      <c r="AB248" s="6" t="b">
        <v>0</v>
      </c>
      <c r="AC248" s="6" t="n">
        <v>0.3020274060329839</v>
      </c>
      <c r="AD248" s="6" t="inlineStr">
        <is>
          <t>C</t>
        </is>
      </c>
      <c r="AE248" s="6" t="n">
        <v>0</v>
      </c>
      <c r="AF248" s="6" t="n">
        <v>0.15</v>
      </c>
      <c r="AG248" s="6" t="n">
        <v>0.8951647386620309</v>
      </c>
      <c r="AH248" s="6" t="n">
        <v>0</v>
      </c>
    </row>
    <row r="249">
      <c r="A249" s="6" t="inlineStr">
        <is>
          <t>E297</t>
        </is>
      </c>
      <c r="B249" s="6" t="n">
        <v>0.3325907085121005</v>
      </c>
      <c r="C249" s="6" t="inlineStr">
        <is>
          <t>C</t>
        </is>
      </c>
      <c r="D249" s="6" t="n">
        <v>0.5907729447122785</v>
      </c>
      <c r="E249" s="6" t="n">
        <v>0.1313799159352259</v>
      </c>
      <c r="F249" s="6" t="n">
        <v>0.1896641456380115</v>
      </c>
      <c r="G249" s="6" t="n">
        <v>248</v>
      </c>
      <c r="H249" s="6" t="n">
        <v>231</v>
      </c>
      <c r="I249" s="6" t="inlineStr">
        <is>
          <t>***建筑机械租赁有限公司</t>
        </is>
      </c>
      <c r="J249" s="6" t="b">
        <v>0</v>
      </c>
      <c r="K249" s="6" t="inlineStr">
        <is>
          <t>中度负面</t>
        </is>
      </c>
      <c r="L249" s="6" t="n">
        <v>0.9</v>
      </c>
      <c r="M249" s="6" t="n">
        <v>1.15</v>
      </c>
      <c r="N249" s="6" t="n">
        <v>0.3023245740474428</v>
      </c>
      <c r="O249" s="6" t="inlineStr">
        <is>
          <t>C</t>
        </is>
      </c>
      <c r="P249" s="6" t="n">
        <v>0</v>
      </c>
      <c r="Q249" s="6" t="n">
        <v>0.15</v>
      </c>
      <c r="R249" s="6" t="n">
        <v>0.8951647386620309</v>
      </c>
      <c r="S249" s="6" t="n">
        <v>-0.01304601771683863</v>
      </c>
      <c r="T249" s="6" t="inlineStr"/>
      <c r="U249" s="6" t="n">
        <v>0</v>
      </c>
      <c r="V249" s="6" t="n">
        <v>0</v>
      </c>
      <c r="W249" s="6" t="n">
        <v>0</v>
      </c>
      <c r="X249" s="6" t="n">
        <v>0</v>
      </c>
      <c r="Y249" s="6" t="n">
        <v>0</v>
      </c>
      <c r="Z249" s="6" t="n">
        <v>0</v>
      </c>
      <c r="AA249" s="9">
        <f>P249*(1-R249)*((1-B249)*Q249-B249*'模型说明与假设'!$B$7-'模型说明与假设'!$B$8)</f>
        <v/>
      </c>
      <c r="AB249" s="6" t="b">
        <v>0</v>
      </c>
      <c r="AC249" s="6" t="n">
        <v>0.3023245740474428</v>
      </c>
      <c r="AD249" s="6" t="inlineStr">
        <is>
          <t>C</t>
        </is>
      </c>
      <c r="AE249" s="6" t="n">
        <v>0</v>
      </c>
      <c r="AF249" s="6" t="n">
        <v>0.15</v>
      </c>
      <c r="AG249" s="6" t="n">
        <v>0.8951647386620309</v>
      </c>
      <c r="AH249" s="6" t="n">
        <v>0</v>
      </c>
    </row>
    <row r="250">
      <c r="A250" s="6" t="inlineStr">
        <is>
          <t>E366</t>
        </is>
      </c>
      <c r="B250" s="6" t="n">
        <v>0.3362569518024849</v>
      </c>
      <c r="C250" s="6" t="inlineStr">
        <is>
          <t>C</t>
        </is>
      </c>
      <c r="D250" s="6" t="n">
        <v>0.5647633403194761</v>
      </c>
      <c r="E250" s="6" t="n">
        <v>0.1450382933596849</v>
      </c>
      <c r="F250" s="6" t="n">
        <v>0.1882017730128195</v>
      </c>
      <c r="G250" s="6" t="n">
        <v>249</v>
      </c>
      <c r="H250" s="6" t="n">
        <v>254</v>
      </c>
      <c r="I250" s="6" t="inlineStr">
        <is>
          <t>***房地产经纪有限公司</t>
        </is>
      </c>
      <c r="J250" s="6" t="b">
        <v>0</v>
      </c>
      <c r="K250" s="6" t="inlineStr">
        <is>
          <t>中度负面</t>
        </is>
      </c>
      <c r="L250" s="6" t="n">
        <v>0.9</v>
      </c>
      <c r="M250" s="6" t="n">
        <v>1.15</v>
      </c>
      <c r="N250" s="6" t="n">
        <v>0.3058100569018604</v>
      </c>
      <c r="O250" s="6" t="inlineStr">
        <is>
          <t>C</t>
        </is>
      </c>
      <c r="P250" s="6" t="n">
        <v>0</v>
      </c>
      <c r="Q250" s="6" t="n">
        <v>0.15</v>
      </c>
      <c r="R250" s="6" t="n">
        <v>0.8951647386620309</v>
      </c>
      <c r="S250" s="6" t="n">
        <v>-0.01333428139694564</v>
      </c>
      <c r="T250" s="6" t="inlineStr"/>
      <c r="U250" s="6" t="n">
        <v>0</v>
      </c>
      <c r="V250" s="6" t="n">
        <v>0</v>
      </c>
      <c r="W250" s="6" t="n">
        <v>0</v>
      </c>
      <c r="X250" s="6" t="n">
        <v>0</v>
      </c>
      <c r="Y250" s="6" t="n">
        <v>0</v>
      </c>
      <c r="Z250" s="6" t="n">
        <v>0</v>
      </c>
      <c r="AA250" s="9">
        <f>P250*(1-R250)*((1-B250)*Q250-B250*'模型说明与假设'!$B$7-'模型说明与假设'!$B$8)</f>
        <v/>
      </c>
      <c r="AB250" s="6" t="b">
        <v>0</v>
      </c>
      <c r="AC250" s="6" t="n">
        <v>0.3058100569018604</v>
      </c>
      <c r="AD250" s="6" t="inlineStr">
        <is>
          <t>C</t>
        </is>
      </c>
      <c r="AE250" s="6" t="n">
        <v>0</v>
      </c>
      <c r="AF250" s="6" t="n">
        <v>0.15</v>
      </c>
      <c r="AG250" s="6" t="n">
        <v>0.8951647386620309</v>
      </c>
      <c r="AH250" s="6" t="n">
        <v>0</v>
      </c>
    </row>
    <row r="251">
      <c r="A251" s="6" t="inlineStr">
        <is>
          <t>E407</t>
        </is>
      </c>
      <c r="B251" s="6" t="n">
        <v>0.3375356400746237</v>
      </c>
      <c r="C251" s="6" t="inlineStr">
        <is>
          <t>C</t>
        </is>
      </c>
      <c r="D251" s="6" t="n">
        <v>0.6244786294369015</v>
      </c>
      <c r="E251" s="6" t="n">
        <v>0.1202017470630364</v>
      </c>
      <c r="F251" s="6" t="n">
        <v>0.1998912129802031</v>
      </c>
      <c r="G251" s="6" t="n">
        <v>250</v>
      </c>
      <c r="H251" s="6" t="n">
        <v>201</v>
      </c>
      <c r="I251" s="6" t="inlineStr">
        <is>
          <t>***装饰工程有限公司</t>
        </is>
      </c>
      <c r="J251" s="6" t="b">
        <v>0</v>
      </c>
      <c r="K251" s="6" t="inlineStr">
        <is>
          <t>中度负面</t>
        </is>
      </c>
      <c r="L251" s="6" t="n">
        <v>0.9</v>
      </c>
      <c r="M251" s="6" t="n">
        <v>1.15</v>
      </c>
      <c r="N251" s="6" t="n">
        <v>0.3070265209249267</v>
      </c>
      <c r="O251" s="6" t="inlineStr">
        <is>
          <t>C</t>
        </is>
      </c>
      <c r="P251" s="6" t="n">
        <v>0</v>
      </c>
      <c r="Q251" s="6" t="n">
        <v>0.15</v>
      </c>
      <c r="R251" s="6" t="n">
        <v>0.8951647386620309</v>
      </c>
      <c r="S251" s="6" t="n">
        <v>-0.01343482011133025</v>
      </c>
      <c r="T251" s="6" t="inlineStr"/>
      <c r="U251" s="6" t="n">
        <v>0</v>
      </c>
      <c r="V251" s="6" t="n">
        <v>0</v>
      </c>
      <c r="W251" s="6" t="n">
        <v>0</v>
      </c>
      <c r="X251" s="6" t="n">
        <v>0</v>
      </c>
      <c r="Y251" s="6" t="n">
        <v>0</v>
      </c>
      <c r="Z251" s="6" t="n">
        <v>0</v>
      </c>
      <c r="AA251" s="9">
        <f>P251*(1-R251)*((1-B251)*Q251-B251*'模型说明与假设'!$B$7-'模型说明与假设'!$B$8)</f>
        <v/>
      </c>
      <c r="AB251" s="6" t="b">
        <v>0</v>
      </c>
      <c r="AC251" s="6" t="n">
        <v>0.3070265209249267</v>
      </c>
      <c r="AD251" s="6" t="inlineStr">
        <is>
          <t>C</t>
        </is>
      </c>
      <c r="AE251" s="6" t="n">
        <v>0</v>
      </c>
      <c r="AF251" s="6" t="n">
        <v>0.15</v>
      </c>
      <c r="AG251" s="6" t="n">
        <v>0.8951647386620309</v>
      </c>
      <c r="AH251" s="6" t="n">
        <v>0</v>
      </c>
    </row>
    <row r="252">
      <c r="A252" s="6" t="inlineStr">
        <is>
          <t>E361</t>
        </is>
      </c>
      <c r="B252" s="6" t="n">
        <v>0.3139520657399522</v>
      </c>
      <c r="C252" s="6" t="inlineStr">
        <is>
          <t>C</t>
        </is>
      </c>
      <c r="D252" s="6" t="n">
        <v>0.6121812065019347</v>
      </c>
      <c r="E252" s="6" t="n">
        <v>0.1221516275673507</v>
      </c>
      <c r="F252" s="6" t="n">
        <v>0.1928192547500378</v>
      </c>
      <c r="G252" s="6" t="n">
        <v>251</v>
      </c>
      <c r="H252" s="6" t="n">
        <v>213</v>
      </c>
      <c r="I252" s="6" t="inlineStr">
        <is>
          <t>***勘察设计工程有限公司</t>
        </is>
      </c>
      <c r="J252" s="6" t="b">
        <v>0</v>
      </c>
      <c r="K252" s="6" t="inlineStr">
        <is>
          <t>其他</t>
        </is>
      </c>
      <c r="L252" s="6" t="n">
        <v>0.3</v>
      </c>
      <c r="M252" s="6" t="n">
        <v>1</v>
      </c>
      <c r="N252" s="6" t="n">
        <v>0.3139520657399521</v>
      </c>
      <c r="O252" s="6" t="inlineStr">
        <is>
          <t>C</t>
        </is>
      </c>
      <c r="P252" s="6" t="n">
        <v>0</v>
      </c>
      <c r="Q252" s="6" t="n">
        <v>0.15</v>
      </c>
      <c r="R252" s="6" t="n">
        <v>0.8951647386620309</v>
      </c>
      <c r="S252" s="6" t="n">
        <v>-0.01158052747733621</v>
      </c>
      <c r="T252" s="6" t="inlineStr"/>
      <c r="U252" s="6" t="n">
        <v>0</v>
      </c>
      <c r="V252" s="6" t="n">
        <v>0</v>
      </c>
      <c r="W252" s="6" t="n">
        <v>0</v>
      </c>
      <c r="X252" s="6" t="n">
        <v>0</v>
      </c>
      <c r="Y252" s="6" t="n">
        <v>0</v>
      </c>
      <c r="Z252" s="6" t="n">
        <v>0</v>
      </c>
      <c r="AA252" s="9">
        <f>P252*(1-R252)*((1-B252)*Q252-B252*'模型说明与假设'!$B$7-'模型说明与假设'!$B$8)</f>
        <v/>
      </c>
      <c r="AB252" s="6" t="b">
        <v>0</v>
      </c>
      <c r="AC252" s="6" t="n">
        <v>0.3139520657399521</v>
      </c>
      <c r="AD252" s="6" t="inlineStr">
        <is>
          <t>C</t>
        </is>
      </c>
      <c r="AE252" s="6" t="n">
        <v>0</v>
      </c>
      <c r="AF252" s="6" t="n">
        <v>0.15</v>
      </c>
      <c r="AG252" s="6" t="n">
        <v>0.8951647386620309</v>
      </c>
      <c r="AH252" s="6" t="n">
        <v>0</v>
      </c>
    </row>
    <row r="253">
      <c r="A253" s="6" t="inlineStr">
        <is>
          <t>E218</t>
        </is>
      </c>
      <c r="B253" s="6" t="n">
        <v>0.3565603989634236</v>
      </c>
      <c r="C253" s="6" t="inlineStr">
        <is>
          <t>C</t>
        </is>
      </c>
      <c r="D253" s="6" t="n">
        <v>0.5349745795604217</v>
      </c>
      <c r="E253" s="6" t="n">
        <v>0.1532922059157358</v>
      </c>
      <c r="F253" s="6" t="n">
        <v>0.1763504311917841</v>
      </c>
      <c r="G253" s="6" t="n">
        <v>252</v>
      </c>
      <c r="H253" s="6" t="n">
        <v>269</v>
      </c>
      <c r="I253" s="6" t="inlineStr">
        <is>
          <t>***建设工程有限公司</t>
        </is>
      </c>
      <c r="J253" s="6" t="b">
        <v>0</v>
      </c>
      <c r="K253" s="6" t="inlineStr">
        <is>
          <t>中度负面</t>
        </is>
      </c>
      <c r="L253" s="6" t="n">
        <v>0.9</v>
      </c>
      <c r="M253" s="6" t="n">
        <v>1.15</v>
      </c>
      <c r="N253" s="6" t="n">
        <v>0.3251757552314864</v>
      </c>
      <c r="O253" s="6" t="inlineStr">
        <is>
          <t>C</t>
        </is>
      </c>
      <c r="P253" s="6" t="n">
        <v>0</v>
      </c>
      <c r="Q253" s="6" t="n">
        <v>0.15</v>
      </c>
      <c r="R253" s="6" t="n">
        <v>0.8951647386620309</v>
      </c>
      <c r="S253" s="6" t="n">
        <v>-0.01493066928882964</v>
      </c>
      <c r="T253" s="6" t="inlineStr"/>
      <c r="U253" s="6" t="n">
        <v>0</v>
      </c>
      <c r="V253" s="6" t="n">
        <v>0</v>
      </c>
      <c r="W253" s="6" t="n">
        <v>0</v>
      </c>
      <c r="X253" s="6" t="n">
        <v>0</v>
      </c>
      <c r="Y253" s="6" t="n">
        <v>0</v>
      </c>
      <c r="Z253" s="6" t="n">
        <v>0</v>
      </c>
      <c r="AA253" s="9">
        <f>P253*(1-R253)*((1-B253)*Q253-B253*'模型说明与假设'!$B$7-'模型说明与假设'!$B$8)</f>
        <v/>
      </c>
      <c r="AB253" s="6" t="b">
        <v>0</v>
      </c>
      <c r="AC253" s="6" t="n">
        <v>0.3251757552314864</v>
      </c>
      <c r="AD253" s="6" t="inlineStr">
        <is>
          <t>C</t>
        </is>
      </c>
      <c r="AE253" s="6" t="n">
        <v>0</v>
      </c>
      <c r="AF253" s="6" t="n">
        <v>0.15</v>
      </c>
      <c r="AG253" s="6" t="n">
        <v>0.8951647386620309</v>
      </c>
      <c r="AH253" s="6" t="n">
        <v>0</v>
      </c>
    </row>
    <row r="254">
      <c r="A254" s="6" t="inlineStr">
        <is>
          <t>E383</t>
        </is>
      </c>
      <c r="B254" s="6" t="n">
        <v>0.305533677022231</v>
      </c>
      <c r="C254" s="6" t="inlineStr">
        <is>
          <t>C</t>
        </is>
      </c>
      <c r="D254" s="6" t="n">
        <v>0.5378613134812951</v>
      </c>
      <c r="E254" s="6" t="n">
        <v>0.1536498009866505</v>
      </c>
      <c r="F254" s="6" t="n">
        <v>0.1788257209050479</v>
      </c>
      <c r="G254" s="6" t="n">
        <v>253</v>
      </c>
      <c r="H254" s="6" t="n">
        <v>266</v>
      </c>
      <c r="I254" s="6" t="inlineStr">
        <is>
          <t>***通讯器材经营部</t>
        </is>
      </c>
      <c r="J254" s="6" t="b">
        <v>0</v>
      </c>
      <c r="K254" s="6" t="inlineStr">
        <is>
          <t>正面/轻影响</t>
        </is>
      </c>
      <c r="L254" s="6" t="n">
        <v>0.9</v>
      </c>
      <c r="M254" s="6" t="n">
        <v>0.9</v>
      </c>
      <c r="N254" s="6" t="n">
        <v>0.3283354696535811</v>
      </c>
      <c r="O254" s="6" t="inlineStr">
        <is>
          <t>C</t>
        </is>
      </c>
      <c r="P254" s="6" t="n">
        <v>0</v>
      </c>
      <c r="Q254" s="6" t="n">
        <v>0.15</v>
      </c>
      <c r="R254" s="6" t="n">
        <v>0.8951647386620309</v>
      </c>
      <c r="S254" s="6" t="n">
        <v>-0.01091861949138603</v>
      </c>
      <c r="T254" s="6" t="inlineStr"/>
      <c r="U254" s="6" t="n">
        <v>0</v>
      </c>
      <c r="V254" s="6" t="n">
        <v>0</v>
      </c>
      <c r="W254" s="6" t="n">
        <v>0</v>
      </c>
      <c r="X254" s="6" t="n">
        <v>0</v>
      </c>
      <c r="Y254" s="6" t="n">
        <v>0</v>
      </c>
      <c r="Z254" s="6" t="n">
        <v>0</v>
      </c>
      <c r="AA254" s="9">
        <f>P254*(1-R254)*((1-B254)*Q254-B254*'模型说明与假设'!$B$7-'模型说明与假设'!$B$8)</f>
        <v/>
      </c>
      <c r="AB254" s="6" t="b">
        <v>0</v>
      </c>
      <c r="AC254" s="6" t="n">
        <v>0.3283354696535811</v>
      </c>
      <c r="AD254" s="6" t="inlineStr">
        <is>
          <t>C</t>
        </is>
      </c>
      <c r="AE254" s="6" t="n">
        <v>0</v>
      </c>
      <c r="AF254" s="6" t="n">
        <v>0.15</v>
      </c>
      <c r="AG254" s="6" t="n">
        <v>0.8951647386620309</v>
      </c>
      <c r="AH254" s="6" t="n">
        <v>0</v>
      </c>
    </row>
    <row r="255">
      <c r="A255" s="6" t="inlineStr">
        <is>
          <t>E386</t>
        </is>
      </c>
      <c r="B255" s="6" t="n">
        <v>0.3307346975525243</v>
      </c>
      <c r="C255" s="6" t="inlineStr">
        <is>
          <t>C</t>
        </is>
      </c>
      <c r="D255" s="6" t="n">
        <v>0.6005362604217467</v>
      </c>
      <c r="E255" s="6" t="n">
        <v>0.1325653279487723</v>
      </c>
      <c r="F255" s="6" t="n">
        <v>0.1992928980036819</v>
      </c>
      <c r="G255" s="6" t="n">
        <v>254</v>
      </c>
      <c r="H255" s="6" t="n">
        <v>222</v>
      </c>
      <c r="I255" s="6" t="inlineStr">
        <is>
          <t xml:space="preserve">个体经营E386 </t>
        </is>
      </c>
      <c r="J255" s="6" t="b">
        <v>0</v>
      </c>
      <c r="K255" s="6" t="inlineStr">
        <is>
          <t>未知</t>
        </is>
      </c>
      <c r="L255" s="6" t="n">
        <v>0</v>
      </c>
      <c r="M255" s="6" t="n">
        <v>1</v>
      </c>
      <c r="N255" s="6" t="n">
        <v>0.3307346975525242</v>
      </c>
      <c r="O255" s="6" t="inlineStr">
        <is>
          <t>C</t>
        </is>
      </c>
      <c r="P255" s="6" t="n">
        <v>0</v>
      </c>
      <c r="Q255" s="6" t="n">
        <v>0.15</v>
      </c>
      <c r="R255" s="6" t="n">
        <v>0.8951647386620309</v>
      </c>
      <c r="S255" s="6" t="n">
        <v>-0.01290008617134365</v>
      </c>
      <c r="T255" s="6" t="inlineStr"/>
      <c r="U255" s="6" t="n">
        <v>0</v>
      </c>
      <c r="V255" s="6" t="n">
        <v>0</v>
      </c>
      <c r="W255" s="6" t="n">
        <v>0</v>
      </c>
      <c r="X255" s="6" t="n">
        <v>0</v>
      </c>
      <c r="Y255" s="6" t="n">
        <v>0</v>
      </c>
      <c r="Z255" s="6" t="n">
        <v>0</v>
      </c>
      <c r="AA255" s="9">
        <f>P255*(1-R255)*((1-B255)*Q255-B255*'模型说明与假设'!$B$7-'模型说明与假设'!$B$8)</f>
        <v/>
      </c>
      <c r="AB255" s="6" t="b">
        <v>0</v>
      </c>
      <c r="AC255" s="6" t="n">
        <v>0.3307346975525242</v>
      </c>
      <c r="AD255" s="6" t="inlineStr">
        <is>
          <t>C</t>
        </is>
      </c>
      <c r="AE255" s="6" t="n">
        <v>0</v>
      </c>
      <c r="AF255" s="6" t="n">
        <v>0.15</v>
      </c>
      <c r="AG255" s="6" t="n">
        <v>0.8951647386620309</v>
      </c>
      <c r="AH255" s="6" t="n">
        <v>0</v>
      </c>
    </row>
    <row r="256">
      <c r="A256" s="6" t="inlineStr">
        <is>
          <t>E320</t>
        </is>
      </c>
      <c r="B256" s="6" t="n">
        <v>0.370780278366095</v>
      </c>
      <c r="C256" s="6" t="inlineStr">
        <is>
          <t>C</t>
        </is>
      </c>
      <c r="D256" s="6" t="n">
        <v>0.5839294448320695</v>
      </c>
      <c r="E256" s="6" t="n">
        <v>0.1351009076211233</v>
      </c>
      <c r="F256" s="6" t="n">
        <v>0.1896058180605225</v>
      </c>
      <c r="G256" s="6" t="n">
        <v>255</v>
      </c>
      <c r="H256" s="6" t="n">
        <v>237</v>
      </c>
      <c r="I256" s="6" t="inlineStr">
        <is>
          <t>***建筑设计有限公司</t>
        </is>
      </c>
      <c r="J256" s="6" t="b">
        <v>0</v>
      </c>
      <c r="K256" s="6" t="inlineStr">
        <is>
          <t>中度负面</t>
        </is>
      </c>
      <c r="L256" s="6" t="n">
        <v>0.9</v>
      </c>
      <c r="M256" s="6" t="n">
        <v>1.15</v>
      </c>
      <c r="N256" s="6" t="n">
        <v>0.3388030447409975</v>
      </c>
      <c r="O256" s="6" t="inlineStr">
        <is>
          <t>C</t>
        </is>
      </c>
      <c r="P256" s="6" t="n">
        <v>0</v>
      </c>
      <c r="Q256" s="6" t="n">
        <v>0.15</v>
      </c>
      <c r="R256" s="6" t="n">
        <v>0.8951647386620309</v>
      </c>
      <c r="S256" s="6" t="n">
        <v>-0.01604872786885973</v>
      </c>
      <c r="T256" s="6" t="inlineStr"/>
      <c r="U256" s="6" t="n">
        <v>0</v>
      </c>
      <c r="V256" s="6" t="n">
        <v>0</v>
      </c>
      <c r="W256" s="6" t="n">
        <v>0</v>
      </c>
      <c r="X256" s="6" t="n">
        <v>0</v>
      </c>
      <c r="Y256" s="6" t="n">
        <v>0</v>
      </c>
      <c r="Z256" s="6" t="n">
        <v>0</v>
      </c>
      <c r="AA256" s="9">
        <f>P256*(1-R256)*((1-B256)*Q256-B256*'模型说明与假设'!$B$7-'模型说明与假设'!$B$8)</f>
        <v/>
      </c>
      <c r="AB256" s="6" t="b">
        <v>0</v>
      </c>
      <c r="AC256" s="6" t="n">
        <v>0.3388030447409975</v>
      </c>
      <c r="AD256" s="6" t="inlineStr">
        <is>
          <t>C</t>
        </is>
      </c>
      <c r="AE256" s="6" t="n">
        <v>0</v>
      </c>
      <c r="AF256" s="6" t="n">
        <v>0.15</v>
      </c>
      <c r="AG256" s="6" t="n">
        <v>0.8951647386620309</v>
      </c>
      <c r="AH256" s="6" t="n">
        <v>0</v>
      </c>
    </row>
    <row r="257">
      <c r="A257" s="6" t="inlineStr">
        <is>
          <t>E307</t>
        </is>
      </c>
      <c r="B257" s="6" t="n">
        <v>0.3201511569915614</v>
      </c>
      <c r="C257" s="6" t="inlineStr">
        <is>
          <t>C</t>
        </is>
      </c>
      <c r="D257" s="6" t="n">
        <v>0.6119538236392901</v>
      </c>
      <c r="E257" s="6" t="n">
        <v>0.1265921957027503</v>
      </c>
      <c r="F257" s="6" t="n">
        <v>0.1996375249196634</v>
      </c>
      <c r="G257" s="6" t="n">
        <v>256</v>
      </c>
      <c r="H257" s="6" t="n">
        <v>214</v>
      </c>
      <c r="I257" s="6" t="inlineStr">
        <is>
          <t>***通信工程有限公司</t>
        </is>
      </c>
      <c r="J257" s="6" t="b">
        <v>0</v>
      </c>
      <c r="K257" s="6" t="inlineStr">
        <is>
          <t>正面/轻影响</t>
        </is>
      </c>
      <c r="L257" s="6" t="n">
        <v>0.9</v>
      </c>
      <c r="M257" s="6" t="n">
        <v>0.9</v>
      </c>
      <c r="N257" s="6" t="n">
        <v>0.3435042539534332</v>
      </c>
      <c r="O257" s="6" t="inlineStr">
        <is>
          <t>C</t>
        </is>
      </c>
      <c r="P257" s="6" t="n">
        <v>0</v>
      </c>
      <c r="Q257" s="6" t="n">
        <v>0.15</v>
      </c>
      <c r="R257" s="6" t="n">
        <v>0.8951647386620309</v>
      </c>
      <c r="S257" s="6" t="n">
        <v>-0.01206793999090149</v>
      </c>
      <c r="T257" s="6" t="inlineStr"/>
      <c r="U257" s="6" t="n">
        <v>0</v>
      </c>
      <c r="V257" s="6" t="n">
        <v>0</v>
      </c>
      <c r="W257" s="6" t="n">
        <v>0</v>
      </c>
      <c r="X257" s="6" t="n">
        <v>0</v>
      </c>
      <c r="Y257" s="6" t="n">
        <v>0</v>
      </c>
      <c r="Z257" s="6" t="n">
        <v>0</v>
      </c>
      <c r="AA257" s="9">
        <f>P257*(1-R257)*((1-B257)*Q257-B257*'模型说明与假设'!$B$7-'模型说明与假设'!$B$8)</f>
        <v/>
      </c>
      <c r="AB257" s="6" t="b">
        <v>0</v>
      </c>
      <c r="AC257" s="6" t="n">
        <v>0.3435042539534332</v>
      </c>
      <c r="AD257" s="6" t="inlineStr">
        <is>
          <t>C</t>
        </is>
      </c>
      <c r="AE257" s="6" t="n">
        <v>0</v>
      </c>
      <c r="AF257" s="6" t="n">
        <v>0.15</v>
      </c>
      <c r="AG257" s="6" t="n">
        <v>0.8951647386620309</v>
      </c>
      <c r="AH257" s="6" t="n">
        <v>0</v>
      </c>
    </row>
    <row r="258">
      <c r="A258" s="6" t="inlineStr">
        <is>
          <t>E365</t>
        </is>
      </c>
      <c r="B258" s="6" t="n">
        <v>0.3271296313460171</v>
      </c>
      <c r="C258" s="6" t="inlineStr">
        <is>
          <t>C</t>
        </is>
      </c>
      <c r="D258" s="6" t="n">
        <v>0.5839669200410965</v>
      </c>
      <c r="E258" s="6" t="n">
        <v>0.1356058707298333</v>
      </c>
      <c r="F258" s="6" t="n">
        <v>0.1903438608233131</v>
      </c>
      <c r="G258" s="6" t="n">
        <v>257</v>
      </c>
      <c r="H258" s="6" t="n">
        <v>236</v>
      </c>
      <c r="I258" s="6" t="inlineStr">
        <is>
          <t>***信息技术有限公司</t>
        </is>
      </c>
      <c r="J258" s="6" t="b">
        <v>0</v>
      </c>
      <c r="K258" s="6" t="inlineStr">
        <is>
          <t>正面/轻影响</t>
        </is>
      </c>
      <c r="L258" s="6" t="n">
        <v>0.9</v>
      </c>
      <c r="M258" s="6" t="n">
        <v>0.9</v>
      </c>
      <c r="N258" s="6" t="n">
        <v>0.35072915706738</v>
      </c>
      <c r="O258" s="6" t="inlineStr">
        <is>
          <t>C</t>
        </is>
      </c>
      <c r="P258" s="6" t="n">
        <v>0</v>
      </c>
      <c r="Q258" s="6" t="n">
        <v>0.15</v>
      </c>
      <c r="R258" s="6" t="n">
        <v>0.8951647386620309</v>
      </c>
      <c r="S258" s="6" t="n">
        <v>-0.01261663262791875</v>
      </c>
      <c r="T258" s="6" t="inlineStr"/>
      <c r="U258" s="6" t="n">
        <v>0</v>
      </c>
      <c r="V258" s="6" t="n">
        <v>0</v>
      </c>
      <c r="W258" s="6" t="n">
        <v>0</v>
      </c>
      <c r="X258" s="6" t="n">
        <v>0</v>
      </c>
      <c r="Y258" s="6" t="n">
        <v>0</v>
      </c>
      <c r="Z258" s="6" t="n">
        <v>0</v>
      </c>
      <c r="AA258" s="9">
        <f>P258*(1-R258)*((1-B258)*Q258-B258*'模型说明与假设'!$B$7-'模型说明与假设'!$B$8)</f>
        <v/>
      </c>
      <c r="AB258" s="6" t="b">
        <v>0</v>
      </c>
      <c r="AC258" s="6" t="n">
        <v>0.35072915706738</v>
      </c>
      <c r="AD258" s="6" t="inlineStr">
        <is>
          <t>C</t>
        </is>
      </c>
      <c r="AE258" s="6" t="n">
        <v>0</v>
      </c>
      <c r="AF258" s="6" t="n">
        <v>0.15</v>
      </c>
      <c r="AG258" s="6" t="n">
        <v>0.8951647386620309</v>
      </c>
      <c r="AH258" s="6" t="n">
        <v>0</v>
      </c>
    </row>
    <row r="259">
      <c r="A259" s="6" t="inlineStr">
        <is>
          <t>E398</t>
        </is>
      </c>
      <c r="B259" s="6" t="n">
        <v>0.3287819028467308</v>
      </c>
      <c r="C259" s="6" t="inlineStr">
        <is>
          <t>C</t>
        </is>
      </c>
      <c r="D259" s="6" t="n">
        <v>0.6163358015268665</v>
      </c>
      <c r="E259" s="6" t="n">
        <v>0.1276465683617133</v>
      </c>
      <c r="F259" s="6" t="n">
        <v>0.2050573140169598</v>
      </c>
      <c r="G259" s="6" t="n">
        <v>258</v>
      </c>
      <c r="H259" s="6" t="n">
        <v>210</v>
      </c>
      <c r="I259" s="6" t="inlineStr">
        <is>
          <t>***医疗管理咨询有限公司</t>
        </is>
      </c>
      <c r="J259" s="6" t="b">
        <v>0</v>
      </c>
      <c r="K259" s="6" t="inlineStr">
        <is>
          <t>正面/轻影响</t>
        </is>
      </c>
      <c r="L259" s="6" t="n">
        <v>0.9</v>
      </c>
      <c r="M259" s="6" t="n">
        <v>0.9</v>
      </c>
      <c r="N259" s="6" t="n">
        <v>0.3524381921142363</v>
      </c>
      <c r="O259" s="6" t="inlineStr">
        <is>
          <t>C</t>
        </is>
      </c>
      <c r="P259" s="6" t="n">
        <v>0</v>
      </c>
      <c r="Q259" s="6" t="n">
        <v>0.15</v>
      </c>
      <c r="R259" s="6" t="n">
        <v>0.8951647386620309</v>
      </c>
      <c r="S259" s="6" t="n">
        <v>-0.01274654486385269</v>
      </c>
      <c r="T259" s="6" t="inlineStr"/>
      <c r="U259" s="6" t="n">
        <v>0</v>
      </c>
      <c r="V259" s="6" t="n">
        <v>0</v>
      </c>
      <c r="W259" s="6" t="n">
        <v>0</v>
      </c>
      <c r="X259" s="6" t="n">
        <v>0</v>
      </c>
      <c r="Y259" s="6" t="n">
        <v>0</v>
      </c>
      <c r="Z259" s="6" t="n">
        <v>0</v>
      </c>
      <c r="AA259" s="9">
        <f>P259*(1-R259)*((1-B259)*Q259-B259*'模型说明与假设'!$B$7-'模型说明与假设'!$B$8)</f>
        <v/>
      </c>
      <c r="AB259" s="6" t="b">
        <v>0</v>
      </c>
      <c r="AC259" s="6" t="n">
        <v>0.3524381921142363</v>
      </c>
      <c r="AD259" s="6" t="inlineStr">
        <is>
          <t>C</t>
        </is>
      </c>
      <c r="AE259" s="6" t="n">
        <v>0</v>
      </c>
      <c r="AF259" s="6" t="n">
        <v>0.15</v>
      </c>
      <c r="AG259" s="6" t="n">
        <v>0.8951647386620309</v>
      </c>
      <c r="AH259" s="6" t="n">
        <v>0</v>
      </c>
    </row>
    <row r="260">
      <c r="A260" s="6" t="inlineStr">
        <is>
          <t>E352</t>
        </is>
      </c>
      <c r="B260" s="6" t="n">
        <v>0.3851602266572757</v>
      </c>
      <c r="C260" s="6" t="inlineStr">
        <is>
          <t>C</t>
        </is>
      </c>
      <c r="D260" s="6" t="n">
        <v>0.4577716892109371</v>
      </c>
      <c r="E260" s="6" t="n">
        <v>0.1904145641194364</v>
      </c>
      <c r="F260" s="6" t="n">
        <v>0.1607558936575484</v>
      </c>
      <c r="G260" s="6" t="n">
        <v>259</v>
      </c>
      <c r="H260" s="6" t="n">
        <v>291</v>
      </c>
      <c r="I260" s="6" t="inlineStr">
        <is>
          <t>***居装饰工程有限公司</t>
        </is>
      </c>
      <c r="J260" s="6" t="b">
        <v>0</v>
      </c>
      <c r="K260" s="6" t="inlineStr">
        <is>
          <t>中度负面</t>
        </is>
      </c>
      <c r="L260" s="6" t="n">
        <v>0.9</v>
      </c>
      <c r="M260" s="6" t="n">
        <v>1.15</v>
      </c>
      <c r="N260" s="6" t="n">
        <v>0.3526378594232936</v>
      </c>
      <c r="O260" s="6" t="inlineStr">
        <is>
          <t>C</t>
        </is>
      </c>
      <c r="P260" s="6" t="n">
        <v>0</v>
      </c>
      <c r="Q260" s="6" t="n">
        <v>0.15</v>
      </c>
      <c r="R260" s="6" t="n">
        <v>0.8951647386620309</v>
      </c>
      <c r="S260" s="6" t="n">
        <v>-0.01717937209670903</v>
      </c>
      <c r="T260" s="6" t="inlineStr"/>
      <c r="U260" s="6" t="n">
        <v>0</v>
      </c>
      <c r="V260" s="6" t="n">
        <v>0</v>
      </c>
      <c r="W260" s="6" t="n">
        <v>0</v>
      </c>
      <c r="X260" s="6" t="n">
        <v>0</v>
      </c>
      <c r="Y260" s="6" t="n">
        <v>0</v>
      </c>
      <c r="Z260" s="6" t="n">
        <v>0</v>
      </c>
      <c r="AA260" s="9">
        <f>P260*(1-R260)*((1-B260)*Q260-B260*'模型说明与假设'!$B$7-'模型说明与假设'!$B$8)</f>
        <v/>
      </c>
      <c r="AB260" s="6" t="b">
        <v>0</v>
      </c>
      <c r="AC260" s="6" t="n">
        <v>0.3526378594232936</v>
      </c>
      <c r="AD260" s="6" t="inlineStr">
        <is>
          <t>C</t>
        </is>
      </c>
      <c r="AE260" s="6" t="n">
        <v>0</v>
      </c>
      <c r="AF260" s="6" t="n">
        <v>0.15</v>
      </c>
      <c r="AG260" s="6" t="n">
        <v>0.8951647386620309</v>
      </c>
      <c r="AH260" s="6" t="n">
        <v>0</v>
      </c>
    </row>
    <row r="261">
      <c r="A261" s="6" t="inlineStr">
        <is>
          <t>E397</t>
        </is>
      </c>
      <c r="B261" s="6" t="n">
        <v>0.3666642954309665</v>
      </c>
      <c r="C261" s="6" t="inlineStr">
        <is>
          <t>C</t>
        </is>
      </c>
      <c r="D261" s="6" t="n">
        <v>0.5286564045623064</v>
      </c>
      <c r="E261" s="6" t="n">
        <v>0.1547385311637787</v>
      </c>
      <c r="F261" s="6" t="n">
        <v>0.1735538921587176</v>
      </c>
      <c r="G261" s="6" t="n">
        <v>260</v>
      </c>
      <c r="H261" s="6" t="n">
        <v>272</v>
      </c>
      <c r="I261" s="6" t="inlineStr">
        <is>
          <t>***大闸蟹经营部</t>
        </is>
      </c>
      <c r="J261" s="6" t="b">
        <v>0</v>
      </c>
      <c r="K261" s="6" t="inlineStr">
        <is>
          <t>其他</t>
        </is>
      </c>
      <c r="L261" s="6" t="n">
        <v>0.3</v>
      </c>
      <c r="M261" s="6" t="n">
        <v>1</v>
      </c>
      <c r="N261" s="6" t="n">
        <v>0.3666642954309665</v>
      </c>
      <c r="O261" s="6" t="inlineStr">
        <is>
          <t>C</t>
        </is>
      </c>
      <c r="P261" s="6" t="n">
        <v>0</v>
      </c>
      <c r="Q261" s="6" t="n">
        <v>0.15</v>
      </c>
      <c r="R261" s="6" t="n">
        <v>0.8951647386620309</v>
      </c>
      <c r="S261" s="6" t="n">
        <v>-0.01572510275885962</v>
      </c>
      <c r="T261" s="6" t="inlineStr"/>
      <c r="U261" s="6" t="n">
        <v>0</v>
      </c>
      <c r="V261" s="6" t="n">
        <v>0</v>
      </c>
      <c r="W261" s="6" t="n">
        <v>0</v>
      </c>
      <c r="X261" s="6" t="n">
        <v>0</v>
      </c>
      <c r="Y261" s="6" t="n">
        <v>0</v>
      </c>
      <c r="Z261" s="6" t="n">
        <v>0</v>
      </c>
      <c r="AA261" s="9">
        <f>P261*(1-R261)*((1-B261)*Q261-B261*'模型说明与假设'!$B$7-'模型说明与假设'!$B$8)</f>
        <v/>
      </c>
      <c r="AB261" s="6" t="b">
        <v>0</v>
      </c>
      <c r="AC261" s="6" t="n">
        <v>0.3666642954309665</v>
      </c>
      <c r="AD261" s="6" t="inlineStr">
        <is>
          <t>C</t>
        </is>
      </c>
      <c r="AE261" s="6" t="n">
        <v>0</v>
      </c>
      <c r="AF261" s="6" t="n">
        <v>0.15</v>
      </c>
      <c r="AG261" s="6" t="n">
        <v>0.8951647386620309</v>
      </c>
      <c r="AH261" s="6" t="n">
        <v>0</v>
      </c>
    </row>
    <row r="262">
      <c r="A262" s="6" t="inlineStr">
        <is>
          <t>E377</t>
        </is>
      </c>
      <c r="B262" s="6" t="n">
        <v>0.386642218763923</v>
      </c>
      <c r="C262" s="6" t="inlineStr">
        <is>
          <t>C</t>
        </is>
      </c>
      <c r="D262" s="6" t="n">
        <v>0.6001884624830083</v>
      </c>
      <c r="E262" s="6" t="n">
        <v>0.1292956313496814</v>
      </c>
      <c r="F262" s="6" t="n">
        <v>0.1940958149118874</v>
      </c>
      <c r="G262" s="6" t="n">
        <v>261</v>
      </c>
      <c r="H262" s="6" t="n">
        <v>224</v>
      </c>
      <c r="I262" s="6" t="inlineStr">
        <is>
          <t>***文化传播有限公司</t>
        </is>
      </c>
      <c r="J262" s="6" t="b">
        <v>0</v>
      </c>
      <c r="K262" s="6" t="inlineStr">
        <is>
          <t>其他</t>
        </is>
      </c>
      <c r="L262" s="6" t="n">
        <v>0.3</v>
      </c>
      <c r="M262" s="6" t="n">
        <v>1</v>
      </c>
      <c r="N262" s="6" t="n">
        <v>0.386642218763923</v>
      </c>
      <c r="O262" s="6" t="inlineStr">
        <is>
          <t>C</t>
        </is>
      </c>
      <c r="P262" s="6" t="n">
        <v>0</v>
      </c>
      <c r="Q262" s="6" t="n">
        <v>0.15</v>
      </c>
      <c r="R262" s="6" t="n">
        <v>0.8951647386620309</v>
      </c>
      <c r="S262" s="6" t="n">
        <v>-0.01729589586905992</v>
      </c>
      <c r="T262" s="6" t="inlineStr"/>
      <c r="U262" s="6" t="n">
        <v>0</v>
      </c>
      <c r="V262" s="6" t="n">
        <v>0</v>
      </c>
      <c r="W262" s="6" t="n">
        <v>0</v>
      </c>
      <c r="X262" s="6" t="n">
        <v>0</v>
      </c>
      <c r="Y262" s="6" t="n">
        <v>0</v>
      </c>
      <c r="Z262" s="6" t="n">
        <v>0</v>
      </c>
      <c r="AA262" s="9">
        <f>P262*(1-R262)*((1-B262)*Q262-B262*'模型说明与假设'!$B$7-'模型说明与假设'!$B$8)</f>
        <v/>
      </c>
      <c r="AB262" s="6" t="b">
        <v>0</v>
      </c>
      <c r="AC262" s="6" t="n">
        <v>0.386642218763923</v>
      </c>
      <c r="AD262" s="6" t="inlineStr">
        <is>
          <t>C</t>
        </is>
      </c>
      <c r="AE262" s="6" t="n">
        <v>0</v>
      </c>
      <c r="AF262" s="6" t="n">
        <v>0.15</v>
      </c>
      <c r="AG262" s="6" t="n">
        <v>0.8951647386620309</v>
      </c>
      <c r="AH262" s="6" t="n">
        <v>0</v>
      </c>
    </row>
    <row r="263">
      <c r="A263" s="6" t="inlineStr">
        <is>
          <t>E371</t>
        </is>
      </c>
      <c r="B263" s="6" t="n">
        <v>0.3684621023679284</v>
      </c>
      <c r="C263" s="6" t="inlineStr">
        <is>
          <t>C</t>
        </is>
      </c>
      <c r="D263" s="6" t="n">
        <v>0.5746439280471473</v>
      </c>
      <c r="E263" s="6" t="n">
        <v>0.1390274975647753</v>
      </c>
      <c r="F263" s="6" t="n">
        <v>0.1878221861049229</v>
      </c>
      <c r="G263" s="6" t="n">
        <v>262</v>
      </c>
      <c r="H263" s="6" t="n">
        <v>247</v>
      </c>
      <c r="I263" s="6" t="inlineStr">
        <is>
          <t>***自动化科技有限公司</t>
        </is>
      </c>
      <c r="J263" s="6" t="b">
        <v>0</v>
      </c>
      <c r="K263" s="6" t="inlineStr">
        <is>
          <t>正面/轻影响</t>
        </is>
      </c>
      <c r="L263" s="6" t="n">
        <v>0.9</v>
      </c>
      <c r="M263" s="6" t="n">
        <v>0.9</v>
      </c>
      <c r="N263" s="6" t="n">
        <v>0.3933005207704237</v>
      </c>
      <c r="O263" s="6" t="inlineStr">
        <is>
          <t>C</t>
        </is>
      </c>
      <c r="P263" s="6" t="n">
        <v>0</v>
      </c>
      <c r="Q263" s="6" t="n">
        <v>0.15</v>
      </c>
      <c r="R263" s="6" t="n">
        <v>0.8951647386620309</v>
      </c>
      <c r="S263" s="6" t="n">
        <v>-0.01586645792891333</v>
      </c>
      <c r="T263" s="6" t="inlineStr"/>
      <c r="U263" s="6" t="n">
        <v>0</v>
      </c>
      <c r="V263" s="6" t="n">
        <v>0</v>
      </c>
      <c r="W263" s="6" t="n">
        <v>0</v>
      </c>
      <c r="X263" s="6" t="n">
        <v>0</v>
      </c>
      <c r="Y263" s="6" t="n">
        <v>0</v>
      </c>
      <c r="Z263" s="6" t="n">
        <v>0</v>
      </c>
      <c r="AA263" s="9">
        <f>P263*(1-R263)*((1-B263)*Q263-B263*'模型说明与假设'!$B$7-'模型说明与假设'!$B$8)</f>
        <v/>
      </c>
      <c r="AB263" s="6" t="b">
        <v>0</v>
      </c>
      <c r="AC263" s="6" t="n">
        <v>0.3933005207704237</v>
      </c>
      <c r="AD263" s="6" t="inlineStr">
        <is>
          <t>C</t>
        </is>
      </c>
      <c r="AE263" s="6" t="n">
        <v>0</v>
      </c>
      <c r="AF263" s="6" t="n">
        <v>0.15</v>
      </c>
      <c r="AG263" s="6" t="n">
        <v>0.8951647386620309</v>
      </c>
      <c r="AH263" s="6" t="n">
        <v>0</v>
      </c>
    </row>
    <row r="264">
      <c r="A264" s="6" t="inlineStr">
        <is>
          <t>E376</t>
        </is>
      </c>
      <c r="B264" s="6" t="n">
        <v>0.4366232332018721</v>
      </c>
      <c r="C264" s="6" t="inlineStr">
        <is>
          <t>D</t>
        </is>
      </c>
      <c r="D264" s="6" t="n">
        <v>0.5540660207500092</v>
      </c>
      <c r="E264" s="6" t="n">
        <v>0.1497119980590872</v>
      </c>
      <c r="F264" s="6" t="n">
        <v>0.1860148248012955</v>
      </c>
      <c r="G264" s="6" t="n">
        <v>263</v>
      </c>
      <c r="H264" s="6" t="n">
        <v>259</v>
      </c>
      <c r="I264" s="6" t="inlineStr">
        <is>
          <t>***建筑装饰设计有限责任公司</t>
        </is>
      </c>
      <c r="J264" s="6" t="b">
        <v>1</v>
      </c>
      <c r="K264" s="6" t="inlineStr">
        <is>
          <t>中度负面</t>
        </is>
      </c>
      <c r="L264" s="6" t="n">
        <v>0.9</v>
      </c>
      <c r="M264" s="6" t="n">
        <v>1.15</v>
      </c>
      <c r="N264" s="6" t="n">
        <v>0.4026008393263854</v>
      </c>
      <c r="O264" s="6" t="inlineStr">
        <is>
          <t>D</t>
        </is>
      </c>
      <c r="P264" s="6" t="n">
        <v>0</v>
      </c>
      <c r="Q264" s="6" t="n">
        <v>0</v>
      </c>
      <c r="R264" s="6" t="n">
        <v>0</v>
      </c>
      <c r="S264" s="6" t="n">
        <v>0</v>
      </c>
      <c r="T264" s="6" t="inlineStr">
        <is>
          <t>预测D级</t>
        </is>
      </c>
      <c r="U264" s="6" t="n">
        <v>0</v>
      </c>
      <c r="V264" s="6" t="n">
        <v>0</v>
      </c>
      <c r="W264" s="6" t="n">
        <v>0</v>
      </c>
      <c r="X264" s="6" t="n">
        <v>0</v>
      </c>
      <c r="Y264" s="6" t="n">
        <v>0</v>
      </c>
      <c r="Z264" s="6" t="n">
        <v>0</v>
      </c>
      <c r="AA264" s="9">
        <f>P264*(1-R264)*((1-B264)*Q264-B264*'模型说明与假设'!$B$7-'模型说明与假设'!$B$8)</f>
        <v/>
      </c>
      <c r="AB264" s="6" t="b">
        <v>0</v>
      </c>
      <c r="AC264" s="6" t="n">
        <v>0.4026008393263854</v>
      </c>
      <c r="AD264" s="6" t="inlineStr">
        <is>
          <t>D</t>
        </is>
      </c>
      <c r="AE264" s="6" t="n">
        <v>0</v>
      </c>
      <c r="AF264" s="6" t="n">
        <v>0</v>
      </c>
      <c r="AG264" s="6" t="n">
        <v>0</v>
      </c>
      <c r="AH264" s="6" t="n">
        <v>0</v>
      </c>
    </row>
    <row r="265">
      <c r="A265" s="6" t="inlineStr">
        <is>
          <t>E378</t>
        </is>
      </c>
      <c r="B265" s="6" t="n">
        <v>0.4574808835270205</v>
      </c>
      <c r="C265" s="6" t="inlineStr">
        <is>
          <t>D</t>
        </is>
      </c>
      <c r="D265" s="6" t="n">
        <v>0.5055084930359411</v>
      </c>
      <c r="E265" s="6" t="n">
        <v>0.158489252137621</v>
      </c>
      <c r="F265" s="6" t="n">
        <v>0.162020301425127</v>
      </c>
      <c r="G265" s="6" t="n">
        <v>264</v>
      </c>
      <c r="H265" s="6" t="n">
        <v>279</v>
      </c>
      <c r="I265" s="6" t="inlineStr">
        <is>
          <t>***商贸有限公司</t>
        </is>
      </c>
      <c r="J265" s="6" t="b">
        <v>1</v>
      </c>
      <c r="K265" s="6" t="inlineStr">
        <is>
          <t>中度负面</t>
        </is>
      </c>
      <c r="L265" s="6" t="n">
        <v>0.9</v>
      </c>
      <c r="M265" s="6" t="n">
        <v>1.15</v>
      </c>
      <c r="N265" s="6" t="n">
        <v>0.4230536774318728</v>
      </c>
      <c r="O265" s="6" t="inlineStr">
        <is>
          <t>D</t>
        </is>
      </c>
      <c r="P265" s="6" t="n">
        <v>0</v>
      </c>
      <c r="Q265" s="6" t="n">
        <v>0</v>
      </c>
      <c r="R265" s="6" t="n">
        <v>0</v>
      </c>
      <c r="S265" s="6" t="n">
        <v>0</v>
      </c>
      <c r="T265" s="6" t="inlineStr">
        <is>
          <t>预测D级</t>
        </is>
      </c>
      <c r="U265" s="6" t="n">
        <v>0</v>
      </c>
      <c r="V265" s="6" t="n">
        <v>0</v>
      </c>
      <c r="W265" s="6" t="n">
        <v>0</v>
      </c>
      <c r="X265" s="6" t="n">
        <v>0</v>
      </c>
      <c r="Y265" s="6" t="n">
        <v>0</v>
      </c>
      <c r="Z265" s="6" t="n">
        <v>0</v>
      </c>
      <c r="AA265" s="9">
        <f>P265*(1-R265)*((1-B265)*Q265-B265*'模型说明与假设'!$B$7-'模型说明与假设'!$B$8)</f>
        <v/>
      </c>
      <c r="AB265" s="6" t="b">
        <v>0</v>
      </c>
      <c r="AC265" s="6" t="n">
        <v>0.4230536774318728</v>
      </c>
      <c r="AD265" s="6" t="inlineStr">
        <is>
          <t>D</t>
        </is>
      </c>
      <c r="AE265" s="6" t="n">
        <v>0</v>
      </c>
      <c r="AF265" s="6" t="n">
        <v>0</v>
      </c>
      <c r="AG265" s="6" t="n">
        <v>0</v>
      </c>
      <c r="AH265" s="6" t="n">
        <v>0</v>
      </c>
    </row>
    <row r="266">
      <c r="A266" s="6" t="inlineStr">
        <is>
          <t>E408</t>
        </is>
      </c>
      <c r="B266" s="6" t="n">
        <v>0.4444967090652094</v>
      </c>
      <c r="C266" s="6" t="inlineStr">
        <is>
          <t>D</t>
        </is>
      </c>
      <c r="D266" s="6" t="n">
        <v>0.5706880360816925</v>
      </c>
      <c r="E266" s="6" t="n">
        <v>0.1414760516991307</v>
      </c>
      <c r="F266" s="6" t="n">
        <v>0.1880653158599895</v>
      </c>
      <c r="G266" s="6" t="n">
        <v>265</v>
      </c>
      <c r="H266" s="6" t="n">
        <v>248</v>
      </c>
      <c r="I266" s="6" t="inlineStr">
        <is>
          <t>***空调制冷有限责任公司</t>
        </is>
      </c>
      <c r="J266" s="6" t="b">
        <v>1</v>
      </c>
      <c r="K266" s="6" t="inlineStr">
        <is>
          <t>其他</t>
        </is>
      </c>
      <c r="L266" s="6" t="n">
        <v>0.3</v>
      </c>
      <c r="M266" s="6" t="n">
        <v>1</v>
      </c>
      <c r="N266" s="6" t="n">
        <v>0.4444967090652094</v>
      </c>
      <c r="O266" s="6" t="inlineStr">
        <is>
          <t>D</t>
        </is>
      </c>
      <c r="P266" s="6" t="n">
        <v>0</v>
      </c>
      <c r="Q266" s="6" t="n">
        <v>0</v>
      </c>
      <c r="R266" s="6" t="n">
        <v>0</v>
      </c>
      <c r="S266" s="6" t="n">
        <v>0</v>
      </c>
      <c r="T266" s="6" t="inlineStr">
        <is>
          <t>预测D级</t>
        </is>
      </c>
      <c r="U266" s="6" t="n">
        <v>0</v>
      </c>
      <c r="V266" s="6" t="n">
        <v>0</v>
      </c>
      <c r="W266" s="6" t="n">
        <v>0</v>
      </c>
      <c r="X266" s="6" t="n">
        <v>0</v>
      </c>
      <c r="Y266" s="6" t="n">
        <v>0</v>
      </c>
      <c r="Z266" s="6" t="n">
        <v>0</v>
      </c>
      <c r="AA266" s="9">
        <f>P266*(1-R266)*((1-B266)*Q266-B266*'模型说明与假设'!$B$7-'模型说明与假设'!$B$8)</f>
        <v/>
      </c>
      <c r="AB266" s="6" t="b">
        <v>0</v>
      </c>
      <c r="AC266" s="6" t="n">
        <v>0.4444967090652094</v>
      </c>
      <c r="AD266" s="6" t="inlineStr">
        <is>
          <t>D</t>
        </is>
      </c>
      <c r="AE266" s="6" t="n">
        <v>0</v>
      </c>
      <c r="AF266" s="6" t="n">
        <v>0</v>
      </c>
      <c r="AG266" s="6" t="n">
        <v>0</v>
      </c>
      <c r="AH266" s="6" t="n">
        <v>0</v>
      </c>
    </row>
    <row r="267">
      <c r="A267" s="6" t="inlineStr">
        <is>
          <t>E349</t>
        </is>
      </c>
      <c r="B267" s="6" t="n">
        <v>0.4544389367361993</v>
      </c>
      <c r="C267" s="6" t="inlineStr">
        <is>
          <t>D</t>
        </is>
      </c>
      <c r="D267" s="6" t="n">
        <v>0.528556946694696</v>
      </c>
      <c r="E267" s="6" t="n">
        <v>0.1682140557970535</v>
      </c>
      <c r="F267" s="6" t="n">
        <v>0.1885926775246039</v>
      </c>
      <c r="G267" s="6" t="n">
        <v>266</v>
      </c>
      <c r="H267" s="6" t="n">
        <v>273</v>
      </c>
      <c r="I267" s="6" t="inlineStr">
        <is>
          <t>***营销策划广告有限公司</t>
        </is>
      </c>
      <c r="J267" s="6" t="b">
        <v>1</v>
      </c>
      <c r="K267" s="6" t="inlineStr">
        <is>
          <t>其他</t>
        </is>
      </c>
      <c r="L267" s="6" t="n">
        <v>0.3</v>
      </c>
      <c r="M267" s="6" t="n">
        <v>1</v>
      </c>
      <c r="N267" s="6" t="n">
        <v>0.4544389367361993</v>
      </c>
      <c r="O267" s="6" t="inlineStr">
        <is>
          <t>D</t>
        </is>
      </c>
      <c r="P267" s="6" t="n">
        <v>0</v>
      </c>
      <c r="Q267" s="6" t="n">
        <v>0</v>
      </c>
      <c r="R267" s="6" t="n">
        <v>0</v>
      </c>
      <c r="S267" s="6" t="n">
        <v>0</v>
      </c>
      <c r="T267" s="6" t="inlineStr">
        <is>
          <t>预测D级</t>
        </is>
      </c>
      <c r="U267" s="6" t="n">
        <v>0</v>
      </c>
      <c r="V267" s="6" t="n">
        <v>0</v>
      </c>
      <c r="W267" s="6" t="n">
        <v>0</v>
      </c>
      <c r="X267" s="6" t="n">
        <v>0</v>
      </c>
      <c r="Y267" s="6" t="n">
        <v>0</v>
      </c>
      <c r="Z267" s="6" t="n">
        <v>0</v>
      </c>
      <c r="AA267" s="9">
        <f>P267*(1-R267)*((1-B267)*Q267-B267*'模型说明与假设'!$B$7-'模型说明与假设'!$B$8)</f>
        <v/>
      </c>
      <c r="AB267" s="6" t="b">
        <v>0</v>
      </c>
      <c r="AC267" s="6" t="n">
        <v>0.4544389367361993</v>
      </c>
      <c r="AD267" s="6" t="inlineStr">
        <is>
          <t>D</t>
        </is>
      </c>
      <c r="AE267" s="6" t="n">
        <v>0</v>
      </c>
      <c r="AF267" s="6" t="n">
        <v>0</v>
      </c>
      <c r="AG267" s="6" t="n">
        <v>0</v>
      </c>
      <c r="AH267" s="6" t="n">
        <v>0</v>
      </c>
    </row>
    <row r="268">
      <c r="A268" s="6" t="inlineStr">
        <is>
          <t>E380</t>
        </is>
      </c>
      <c r="B268" s="6" t="n">
        <v>0.4972141844742176</v>
      </c>
      <c r="C268" s="6" t="inlineStr">
        <is>
          <t>D</t>
        </is>
      </c>
      <c r="D268" s="6" t="n">
        <v>0.5288852180552697</v>
      </c>
      <c r="E268" s="6" t="n">
        <v>0.1608809117018252</v>
      </c>
      <c r="F268" s="6" t="n">
        <v>0.1806089287097185</v>
      </c>
      <c r="G268" s="6" t="n">
        <v>267</v>
      </c>
      <c r="H268" s="6" t="n">
        <v>271</v>
      </c>
      <c r="I268" s="6" t="inlineStr">
        <is>
          <t>***建材有限公司</t>
        </is>
      </c>
      <c r="J268" s="6" t="b">
        <v>1</v>
      </c>
      <c r="K268" s="6" t="inlineStr">
        <is>
          <t>中度负面</t>
        </is>
      </c>
      <c r="L268" s="6" t="n">
        <v>0.9</v>
      </c>
      <c r="M268" s="6" t="n">
        <v>1.15</v>
      </c>
      <c r="N268" s="6" t="n">
        <v>0.4623451006979057</v>
      </c>
      <c r="O268" s="6" t="inlineStr">
        <is>
          <t>D</t>
        </is>
      </c>
      <c r="P268" s="6" t="n">
        <v>0</v>
      </c>
      <c r="Q268" s="6" t="n">
        <v>0</v>
      </c>
      <c r="R268" s="6" t="n">
        <v>0</v>
      </c>
      <c r="S268" s="6" t="n">
        <v>0</v>
      </c>
      <c r="T268" s="6" t="inlineStr">
        <is>
          <t>预测D级</t>
        </is>
      </c>
      <c r="U268" s="6" t="n">
        <v>0</v>
      </c>
      <c r="V268" s="6" t="n">
        <v>0</v>
      </c>
      <c r="W268" s="6" t="n">
        <v>0</v>
      </c>
      <c r="X268" s="6" t="n">
        <v>0</v>
      </c>
      <c r="Y268" s="6" t="n">
        <v>0</v>
      </c>
      <c r="Z268" s="6" t="n">
        <v>0</v>
      </c>
      <c r="AA268" s="9">
        <f>P268*(1-R268)*((1-B268)*Q268-B268*'模型说明与假设'!$B$7-'模型说明与假设'!$B$8)</f>
        <v/>
      </c>
      <c r="AB268" s="6" t="b">
        <v>0</v>
      </c>
      <c r="AC268" s="6" t="n">
        <v>0.4623451006979057</v>
      </c>
      <c r="AD268" s="6" t="inlineStr">
        <is>
          <t>D</t>
        </is>
      </c>
      <c r="AE268" s="6" t="n">
        <v>0</v>
      </c>
      <c r="AF268" s="6" t="n">
        <v>0</v>
      </c>
      <c r="AG268" s="6" t="n">
        <v>0</v>
      </c>
      <c r="AH268" s="6" t="n">
        <v>0</v>
      </c>
    </row>
    <row r="269">
      <c r="A269" s="6" t="inlineStr">
        <is>
          <t>E422</t>
        </is>
      </c>
      <c r="B269" s="6" t="n">
        <v>0.5080286998066487</v>
      </c>
      <c r="C269" s="6" t="inlineStr">
        <is>
          <t>D</t>
        </is>
      </c>
      <c r="D269" s="6" t="n">
        <v>0.5669829792160676</v>
      </c>
      <c r="E269" s="6" t="n">
        <v>0.1481835180872862</v>
      </c>
      <c r="F269" s="6" t="n">
        <v>0.1940282449030353</v>
      </c>
      <c r="G269" s="6" t="n">
        <v>268</v>
      </c>
      <c r="H269" s="6" t="n">
        <v>250</v>
      </c>
      <c r="I269" s="6" t="inlineStr">
        <is>
          <t>***童装店</t>
        </is>
      </c>
      <c r="J269" s="6" t="b">
        <v>1</v>
      </c>
      <c r="K269" s="6" t="inlineStr">
        <is>
          <t>其他</t>
        </is>
      </c>
      <c r="L269" s="6" t="n">
        <v>0.3</v>
      </c>
      <c r="M269" s="6" t="n">
        <v>1</v>
      </c>
      <c r="N269" s="6" t="n">
        <v>0.5080286998066487</v>
      </c>
      <c r="O269" s="6" t="inlineStr">
        <is>
          <t>D</t>
        </is>
      </c>
      <c r="P269" s="6" t="n">
        <v>0</v>
      </c>
      <c r="Q269" s="6" t="n">
        <v>0</v>
      </c>
      <c r="R269" s="6" t="n">
        <v>0</v>
      </c>
      <c r="S269" s="6" t="n">
        <v>0</v>
      </c>
      <c r="T269" s="6" t="inlineStr">
        <is>
          <t>预测D级</t>
        </is>
      </c>
      <c r="U269" s="6" t="n">
        <v>0</v>
      </c>
      <c r="V269" s="6" t="n">
        <v>0</v>
      </c>
      <c r="W269" s="6" t="n">
        <v>0</v>
      </c>
      <c r="X269" s="6" t="n">
        <v>0</v>
      </c>
      <c r="Y269" s="6" t="n">
        <v>0</v>
      </c>
      <c r="Z269" s="6" t="n">
        <v>0</v>
      </c>
      <c r="AA269" s="9">
        <f>P269*(1-R269)*((1-B269)*Q269-B269*'模型说明与假设'!$B$7-'模型说明与假设'!$B$8)</f>
        <v/>
      </c>
      <c r="AB269" s="6" t="b">
        <v>0</v>
      </c>
      <c r="AC269" s="6" t="n">
        <v>0.5080286998066487</v>
      </c>
      <c r="AD269" s="6" t="inlineStr">
        <is>
          <t>D</t>
        </is>
      </c>
      <c r="AE269" s="6" t="n">
        <v>0</v>
      </c>
      <c r="AF269" s="6" t="n">
        <v>0</v>
      </c>
      <c r="AG269" s="6" t="n">
        <v>0</v>
      </c>
      <c r="AH269" s="6" t="n">
        <v>0</v>
      </c>
    </row>
    <row r="270">
      <c r="A270" s="6" t="inlineStr">
        <is>
          <t>E396</t>
        </is>
      </c>
      <c r="B270" s="6" t="n">
        <v>0.5096055632469612</v>
      </c>
      <c r="C270" s="6" t="inlineStr">
        <is>
          <t>D</t>
        </is>
      </c>
      <c r="D270" s="6" t="n">
        <v>0.5679673772018784</v>
      </c>
      <c r="E270" s="6" t="n">
        <v>0.1393735517447781</v>
      </c>
      <c r="F270" s="6" t="n">
        <v>0.183226049280962</v>
      </c>
      <c r="G270" s="6" t="n">
        <v>269</v>
      </c>
      <c r="H270" s="6" t="n">
        <v>249</v>
      </c>
      <c r="I270" s="6" t="inlineStr">
        <is>
          <t>***文化传播有限公司</t>
        </is>
      </c>
      <c r="J270" s="6" t="b">
        <v>1</v>
      </c>
      <c r="K270" s="6" t="inlineStr">
        <is>
          <t>其他</t>
        </is>
      </c>
      <c r="L270" s="6" t="n">
        <v>0.3</v>
      </c>
      <c r="M270" s="6" t="n">
        <v>1</v>
      </c>
      <c r="N270" s="6" t="n">
        <v>0.5096055632469612</v>
      </c>
      <c r="O270" s="6" t="inlineStr">
        <is>
          <t>D</t>
        </is>
      </c>
      <c r="P270" s="6" t="n">
        <v>0</v>
      </c>
      <c r="Q270" s="6" t="n">
        <v>0</v>
      </c>
      <c r="R270" s="6" t="n">
        <v>0</v>
      </c>
      <c r="S270" s="6" t="n">
        <v>0</v>
      </c>
      <c r="T270" s="6" t="inlineStr">
        <is>
          <t>预测D级</t>
        </is>
      </c>
      <c r="U270" s="6" t="n">
        <v>0</v>
      </c>
      <c r="V270" s="6" t="n">
        <v>0</v>
      </c>
      <c r="W270" s="6" t="n">
        <v>0</v>
      </c>
      <c r="X270" s="6" t="n">
        <v>0</v>
      </c>
      <c r="Y270" s="6" t="n">
        <v>0</v>
      </c>
      <c r="Z270" s="6" t="n">
        <v>0</v>
      </c>
      <c r="AA270" s="9">
        <f>P270*(1-R270)*((1-B270)*Q270-B270*'模型说明与假设'!$B$7-'模型说明与假设'!$B$8)</f>
        <v/>
      </c>
      <c r="AB270" s="6" t="b">
        <v>0</v>
      </c>
      <c r="AC270" s="6" t="n">
        <v>0.5096055632469612</v>
      </c>
      <c r="AD270" s="6" t="inlineStr">
        <is>
          <t>D</t>
        </is>
      </c>
      <c r="AE270" s="6" t="n">
        <v>0</v>
      </c>
      <c r="AF270" s="6" t="n">
        <v>0</v>
      </c>
      <c r="AG270" s="6" t="n">
        <v>0</v>
      </c>
      <c r="AH270" s="6" t="n">
        <v>0</v>
      </c>
    </row>
    <row r="271">
      <c r="A271" s="6" t="inlineStr">
        <is>
          <t>E399</t>
        </is>
      </c>
      <c r="B271" s="6" t="n">
        <v>0.5445668638894382</v>
      </c>
      <c r="C271" s="6" t="inlineStr">
        <is>
          <t>D</t>
        </is>
      </c>
      <c r="D271" s="6" t="n">
        <v>0.5787299551455131</v>
      </c>
      <c r="E271" s="6" t="n">
        <v>0.1444363414041692</v>
      </c>
      <c r="F271" s="6" t="n">
        <v>0.1984229318063429</v>
      </c>
      <c r="G271" s="6" t="n">
        <v>270</v>
      </c>
      <c r="H271" s="6" t="n">
        <v>241</v>
      </c>
      <c r="I271" s="6" t="inlineStr">
        <is>
          <t>***装饰工程有限公司</t>
        </is>
      </c>
      <c r="J271" s="6" t="b">
        <v>1</v>
      </c>
      <c r="K271" s="6" t="inlineStr">
        <is>
          <t>中度负面</t>
        </is>
      </c>
      <c r="L271" s="6" t="n">
        <v>0.9</v>
      </c>
      <c r="M271" s="6" t="n">
        <v>1.15</v>
      </c>
      <c r="N271" s="6" t="n">
        <v>0.5097437356672883</v>
      </c>
      <c r="O271" s="6" t="inlineStr">
        <is>
          <t>D</t>
        </is>
      </c>
      <c r="P271" s="6" t="n">
        <v>0</v>
      </c>
      <c r="Q271" s="6" t="n">
        <v>0</v>
      </c>
      <c r="R271" s="6" t="n">
        <v>0</v>
      </c>
      <c r="S271" s="6" t="n">
        <v>0</v>
      </c>
      <c r="T271" s="6" t="inlineStr">
        <is>
          <t>预测D级</t>
        </is>
      </c>
      <c r="U271" s="6" t="n">
        <v>0</v>
      </c>
      <c r="V271" s="6" t="n">
        <v>0</v>
      </c>
      <c r="W271" s="6" t="n">
        <v>0</v>
      </c>
      <c r="X271" s="6" t="n">
        <v>0</v>
      </c>
      <c r="Y271" s="6" t="n">
        <v>0</v>
      </c>
      <c r="Z271" s="6" t="n">
        <v>0</v>
      </c>
      <c r="AA271" s="9">
        <f>P271*(1-R271)*((1-B271)*Q271-B271*'模型说明与假设'!$B$7-'模型说明与假设'!$B$8)</f>
        <v/>
      </c>
      <c r="AB271" s="6" t="b">
        <v>0</v>
      </c>
      <c r="AC271" s="6" t="n">
        <v>0.5097437356672883</v>
      </c>
      <c r="AD271" s="6" t="inlineStr">
        <is>
          <t>D</t>
        </is>
      </c>
      <c r="AE271" s="6" t="n">
        <v>0</v>
      </c>
      <c r="AF271" s="6" t="n">
        <v>0</v>
      </c>
      <c r="AG271" s="6" t="n">
        <v>0</v>
      </c>
      <c r="AH271" s="6" t="n">
        <v>0</v>
      </c>
    </row>
    <row r="272">
      <c r="A272" s="6" t="inlineStr">
        <is>
          <t>E411</t>
        </is>
      </c>
      <c r="B272" s="6" t="n">
        <v>0.5108599513751324</v>
      </c>
      <c r="C272" s="6" t="inlineStr">
        <is>
          <t>D</t>
        </is>
      </c>
      <c r="D272" s="6" t="n">
        <v>0.549942753996312</v>
      </c>
      <c r="E272" s="6" t="n">
        <v>0.1418211134575694</v>
      </c>
      <c r="F272" s="6" t="n">
        <v>0.1732968292416739</v>
      </c>
      <c r="G272" s="6" t="n">
        <v>271</v>
      </c>
      <c r="H272" s="6" t="n">
        <v>262</v>
      </c>
      <c r="I272" s="6" t="inlineStr">
        <is>
          <t>***机电设备有限公司</t>
        </is>
      </c>
      <c r="J272" s="6" t="b">
        <v>1</v>
      </c>
      <c r="K272" s="6" t="inlineStr">
        <is>
          <t>其他</t>
        </is>
      </c>
      <c r="L272" s="6" t="n">
        <v>0.3</v>
      </c>
      <c r="M272" s="6" t="n">
        <v>1</v>
      </c>
      <c r="N272" s="6" t="n">
        <v>0.5108599513751324</v>
      </c>
      <c r="O272" s="6" t="inlineStr">
        <is>
          <t>D</t>
        </is>
      </c>
      <c r="P272" s="6" t="n">
        <v>0</v>
      </c>
      <c r="Q272" s="6" t="n">
        <v>0</v>
      </c>
      <c r="R272" s="6" t="n">
        <v>0</v>
      </c>
      <c r="S272" s="6" t="n">
        <v>0</v>
      </c>
      <c r="T272" s="6" t="inlineStr">
        <is>
          <t>预测D级</t>
        </is>
      </c>
      <c r="U272" s="6" t="n">
        <v>0</v>
      </c>
      <c r="V272" s="6" t="n">
        <v>0</v>
      </c>
      <c r="W272" s="6" t="n">
        <v>0</v>
      </c>
      <c r="X272" s="6" t="n">
        <v>0</v>
      </c>
      <c r="Y272" s="6" t="n">
        <v>0</v>
      </c>
      <c r="Z272" s="6" t="n">
        <v>0</v>
      </c>
      <c r="AA272" s="9">
        <f>P272*(1-R272)*((1-B272)*Q272-B272*'模型说明与假设'!$B$7-'模型说明与假设'!$B$8)</f>
        <v/>
      </c>
      <c r="AB272" s="6" t="b">
        <v>0</v>
      </c>
      <c r="AC272" s="6" t="n">
        <v>0.5108599513751324</v>
      </c>
      <c r="AD272" s="6" t="inlineStr">
        <is>
          <t>D</t>
        </is>
      </c>
      <c r="AE272" s="6" t="n">
        <v>0</v>
      </c>
      <c r="AF272" s="6" t="n">
        <v>0</v>
      </c>
      <c r="AG272" s="6" t="n">
        <v>0</v>
      </c>
      <c r="AH272" s="6" t="n">
        <v>0</v>
      </c>
    </row>
    <row r="273">
      <c r="A273" s="6" t="inlineStr">
        <is>
          <t>E384</t>
        </is>
      </c>
      <c r="B273" s="6" t="n">
        <v>0.5266703793243871</v>
      </c>
      <c r="C273" s="6" t="inlineStr">
        <is>
          <t>D</t>
        </is>
      </c>
      <c r="D273" s="6" t="n">
        <v>0.4936573573732296</v>
      </c>
      <c r="E273" s="6" t="n">
        <v>0.1671208936862944</v>
      </c>
      <c r="F273" s="6" t="n">
        <v>0.1629340525440208</v>
      </c>
      <c r="G273" s="6" t="n">
        <v>272</v>
      </c>
      <c r="H273" s="6" t="n">
        <v>285</v>
      </c>
      <c r="I273" s="6" t="inlineStr">
        <is>
          <t xml:space="preserve">个体经营E384 </t>
        </is>
      </c>
      <c r="J273" s="6" t="b">
        <v>1</v>
      </c>
      <c r="K273" s="6" t="inlineStr">
        <is>
          <t>未知</t>
        </is>
      </c>
      <c r="L273" s="6" t="n">
        <v>0</v>
      </c>
      <c r="M273" s="6" t="n">
        <v>1</v>
      </c>
      <c r="N273" s="6" t="n">
        <v>0.526670379324387</v>
      </c>
      <c r="O273" s="6" t="inlineStr">
        <is>
          <t>D</t>
        </is>
      </c>
      <c r="P273" s="6" t="n">
        <v>0</v>
      </c>
      <c r="Q273" s="6" t="n">
        <v>0</v>
      </c>
      <c r="R273" s="6" t="n">
        <v>0</v>
      </c>
      <c r="S273" s="6" t="n">
        <v>0</v>
      </c>
      <c r="T273" s="6" t="inlineStr">
        <is>
          <t>预测D级</t>
        </is>
      </c>
      <c r="U273" s="6" t="n">
        <v>0</v>
      </c>
      <c r="V273" s="6" t="n">
        <v>0</v>
      </c>
      <c r="W273" s="6" t="n">
        <v>0</v>
      </c>
      <c r="X273" s="6" t="n">
        <v>0</v>
      </c>
      <c r="Y273" s="6" t="n">
        <v>0</v>
      </c>
      <c r="Z273" s="6" t="n">
        <v>0</v>
      </c>
      <c r="AA273" s="9">
        <f>P273*(1-R273)*((1-B273)*Q273-B273*'模型说明与假设'!$B$7-'模型说明与假设'!$B$8)</f>
        <v/>
      </c>
      <c r="AB273" s="6" t="b">
        <v>0</v>
      </c>
      <c r="AC273" s="6" t="n">
        <v>0.526670379324387</v>
      </c>
      <c r="AD273" s="6" t="inlineStr">
        <is>
          <t>D</t>
        </is>
      </c>
      <c r="AE273" s="6" t="n">
        <v>0</v>
      </c>
      <c r="AF273" s="6" t="n">
        <v>0</v>
      </c>
      <c r="AG273" s="6" t="n">
        <v>0</v>
      </c>
      <c r="AH273" s="6" t="n">
        <v>0</v>
      </c>
    </row>
    <row r="274">
      <c r="A274" s="6" t="inlineStr">
        <is>
          <t>E336</t>
        </is>
      </c>
      <c r="B274" s="6" t="n">
        <v>0.5293121427385697</v>
      </c>
      <c r="C274" s="6" t="inlineStr">
        <is>
          <t>D</t>
        </is>
      </c>
      <c r="D274" s="6" t="n">
        <v>0.5356559180043756</v>
      </c>
      <c r="E274" s="6" t="n">
        <v>0.160296418468637</v>
      </c>
      <c r="F274" s="6" t="n">
        <v>0.1849140077733142</v>
      </c>
      <c r="G274" s="6" t="n">
        <v>273</v>
      </c>
      <c r="H274" s="6" t="n">
        <v>267</v>
      </c>
      <c r="I274" s="6" t="inlineStr">
        <is>
          <t>***猕猴桃专业合作社</t>
        </is>
      </c>
      <c r="J274" s="6" t="b">
        <v>1</v>
      </c>
      <c r="K274" s="6" t="inlineStr">
        <is>
          <t>其他</t>
        </is>
      </c>
      <c r="L274" s="6" t="n">
        <v>0.3</v>
      </c>
      <c r="M274" s="6" t="n">
        <v>1</v>
      </c>
      <c r="N274" s="6" t="n">
        <v>0.5293121427385699</v>
      </c>
      <c r="O274" s="6" t="inlineStr">
        <is>
          <t>D</t>
        </is>
      </c>
      <c r="P274" s="6" t="n">
        <v>0</v>
      </c>
      <c r="Q274" s="6" t="n">
        <v>0</v>
      </c>
      <c r="R274" s="6" t="n">
        <v>0</v>
      </c>
      <c r="S274" s="6" t="n">
        <v>0</v>
      </c>
      <c r="T274" s="6" t="inlineStr">
        <is>
          <t>预测D级</t>
        </is>
      </c>
      <c r="U274" s="6" t="n">
        <v>0</v>
      </c>
      <c r="V274" s="6" t="n">
        <v>0</v>
      </c>
      <c r="W274" s="6" t="n">
        <v>0</v>
      </c>
      <c r="X274" s="6" t="n">
        <v>0</v>
      </c>
      <c r="Y274" s="6" t="n">
        <v>0</v>
      </c>
      <c r="Z274" s="6" t="n">
        <v>0</v>
      </c>
      <c r="AA274" s="9">
        <f>P274*(1-R274)*((1-B274)*Q274-B274*'模型说明与假设'!$B$7-'模型说明与假设'!$B$8)</f>
        <v/>
      </c>
      <c r="AB274" s="6" t="b">
        <v>0</v>
      </c>
      <c r="AC274" s="6" t="n">
        <v>0.5293121427385699</v>
      </c>
      <c r="AD274" s="6" t="inlineStr">
        <is>
          <t>D</t>
        </is>
      </c>
      <c r="AE274" s="6" t="n">
        <v>0</v>
      </c>
      <c r="AF274" s="6" t="n">
        <v>0</v>
      </c>
      <c r="AG274" s="6" t="n">
        <v>0</v>
      </c>
      <c r="AH274" s="6" t="n">
        <v>0</v>
      </c>
    </row>
    <row r="275">
      <c r="A275" s="6" t="inlineStr">
        <is>
          <t>E390</t>
        </is>
      </c>
      <c r="B275" s="6" t="n">
        <v>0.5722639997382289</v>
      </c>
      <c r="C275" s="6" t="inlineStr">
        <is>
          <t>D</t>
        </is>
      </c>
      <c r="D275" s="6" t="n">
        <v>0.5352940888175631</v>
      </c>
      <c r="E275" s="6" t="n">
        <v>0.1614985740045085</v>
      </c>
      <c r="F275" s="6" t="n">
        <v>0.1860299814071882</v>
      </c>
      <c r="G275" s="6" t="n">
        <v>274</v>
      </c>
      <c r="H275" s="6" t="n">
        <v>268</v>
      </c>
      <c r="I275" s="6" t="inlineStr">
        <is>
          <t>***建筑工程有限公司</t>
        </is>
      </c>
      <c r="J275" s="6" t="b">
        <v>1</v>
      </c>
      <c r="K275" s="6" t="inlineStr">
        <is>
          <t>中度负面</t>
        </is>
      </c>
      <c r="L275" s="6" t="n">
        <v>0.9</v>
      </c>
      <c r="M275" s="6" t="n">
        <v>1.15</v>
      </c>
      <c r="N275" s="6" t="n">
        <v>0.5377610365102041</v>
      </c>
      <c r="O275" s="6" t="inlineStr">
        <is>
          <t>D</t>
        </is>
      </c>
      <c r="P275" s="6" t="n">
        <v>0</v>
      </c>
      <c r="Q275" s="6" t="n">
        <v>0</v>
      </c>
      <c r="R275" s="6" t="n">
        <v>0</v>
      </c>
      <c r="S275" s="6" t="n">
        <v>0</v>
      </c>
      <c r="T275" s="6" t="inlineStr">
        <is>
          <t>预测D级</t>
        </is>
      </c>
      <c r="U275" s="6" t="n">
        <v>0</v>
      </c>
      <c r="V275" s="6" t="n">
        <v>0</v>
      </c>
      <c r="W275" s="6" t="n">
        <v>0</v>
      </c>
      <c r="X275" s="6" t="n">
        <v>0</v>
      </c>
      <c r="Y275" s="6" t="n">
        <v>0</v>
      </c>
      <c r="Z275" s="6" t="n">
        <v>0</v>
      </c>
      <c r="AA275" s="9">
        <f>P275*(1-R275)*((1-B275)*Q275-B275*'模型说明与假设'!$B$7-'模型说明与假设'!$B$8)</f>
        <v/>
      </c>
      <c r="AB275" s="6" t="b">
        <v>0</v>
      </c>
      <c r="AC275" s="6" t="n">
        <v>0.5377610365102041</v>
      </c>
      <c r="AD275" s="6" t="inlineStr">
        <is>
          <t>D</t>
        </is>
      </c>
      <c r="AE275" s="6" t="n">
        <v>0</v>
      </c>
      <c r="AF275" s="6" t="n">
        <v>0</v>
      </c>
      <c r="AG275" s="6" t="n">
        <v>0</v>
      </c>
      <c r="AH275" s="6" t="n">
        <v>0</v>
      </c>
    </row>
    <row r="276">
      <c r="A276" s="6" t="inlineStr">
        <is>
          <t>E291</t>
        </is>
      </c>
      <c r="B276" s="6" t="n">
        <v>0.5901726340223492</v>
      </c>
      <c r="C276" s="6" t="inlineStr">
        <is>
          <t>D</t>
        </is>
      </c>
      <c r="D276" s="6" t="n">
        <v>0.4323655160550415</v>
      </c>
      <c r="E276" s="6" t="n">
        <v>0.1864482042913851</v>
      </c>
      <c r="F276" s="6" t="n">
        <v>0.1420170485516122</v>
      </c>
      <c r="G276" s="6" t="n">
        <v>275</v>
      </c>
      <c r="H276" s="6" t="n">
        <v>299</v>
      </c>
      <c r="I276" s="6" t="inlineStr">
        <is>
          <t>***文业建设工程有限公司</t>
        </is>
      </c>
      <c r="J276" s="6" t="b">
        <v>1</v>
      </c>
      <c r="K276" s="6" t="inlineStr">
        <is>
          <t>中度负面</t>
        </is>
      </c>
      <c r="L276" s="6" t="n">
        <v>0.9</v>
      </c>
      <c r="M276" s="6" t="n">
        <v>1.15</v>
      </c>
      <c r="N276" s="6" t="n">
        <v>0.5559934352612516</v>
      </c>
      <c r="O276" s="6" t="inlineStr">
        <is>
          <t>D</t>
        </is>
      </c>
      <c r="P276" s="6" t="n">
        <v>0</v>
      </c>
      <c r="Q276" s="6" t="n">
        <v>0</v>
      </c>
      <c r="R276" s="6" t="n">
        <v>0</v>
      </c>
      <c r="S276" s="6" t="n">
        <v>0</v>
      </c>
      <c r="T276" s="6" t="inlineStr">
        <is>
          <t>预测D级</t>
        </is>
      </c>
      <c r="U276" s="6" t="n">
        <v>0</v>
      </c>
      <c r="V276" s="6" t="n">
        <v>0</v>
      </c>
      <c r="W276" s="6" t="n">
        <v>0</v>
      </c>
      <c r="X276" s="6" t="n">
        <v>0</v>
      </c>
      <c r="Y276" s="6" t="n">
        <v>0</v>
      </c>
      <c r="Z276" s="6" t="n">
        <v>0</v>
      </c>
      <c r="AA276" s="9">
        <f>P276*(1-R276)*((1-B276)*Q276-B276*'模型说明与假设'!$B$7-'模型说明与假设'!$B$8)</f>
        <v/>
      </c>
      <c r="AB276" s="6" t="b">
        <v>0</v>
      </c>
      <c r="AC276" s="6" t="n">
        <v>0.5559934352612516</v>
      </c>
      <c r="AD276" s="6" t="inlineStr">
        <is>
          <t>D</t>
        </is>
      </c>
      <c r="AE276" s="6" t="n">
        <v>0</v>
      </c>
      <c r="AF276" s="6" t="n">
        <v>0</v>
      </c>
      <c r="AG276" s="6" t="n">
        <v>0</v>
      </c>
      <c r="AH276" s="6" t="n">
        <v>0</v>
      </c>
    </row>
    <row r="277">
      <c r="A277" s="6" t="inlineStr">
        <is>
          <t>E360</t>
        </is>
      </c>
      <c r="B277" s="6" t="n">
        <v>0.5949902695674851</v>
      </c>
      <c r="C277" s="6" t="inlineStr">
        <is>
          <t>D</t>
        </is>
      </c>
      <c r="D277" s="6" t="n">
        <v>0.5114398679105747</v>
      </c>
      <c r="E277" s="6" t="n">
        <v>0.1754952960124377</v>
      </c>
      <c r="F277" s="6" t="n">
        <v>0.1837139076978546</v>
      </c>
      <c r="G277" s="6" t="n">
        <v>276</v>
      </c>
      <c r="H277" s="6" t="n">
        <v>277</v>
      </c>
      <c r="I277" s="6" t="inlineStr">
        <is>
          <t>***建筑劳务有限公司</t>
        </is>
      </c>
      <c r="J277" s="6" t="b">
        <v>1</v>
      </c>
      <c r="K277" s="6" t="inlineStr">
        <is>
          <t>中度负面</t>
        </is>
      </c>
      <c r="L277" s="6" t="n">
        <v>0.9</v>
      </c>
      <c r="M277" s="6" t="n">
        <v>1.15</v>
      </c>
      <c r="N277" s="6" t="n">
        <v>0.5609139296509208</v>
      </c>
      <c r="O277" s="6" t="inlineStr">
        <is>
          <t>D</t>
        </is>
      </c>
      <c r="P277" s="6" t="n">
        <v>0</v>
      </c>
      <c r="Q277" s="6" t="n">
        <v>0</v>
      </c>
      <c r="R277" s="6" t="n">
        <v>0</v>
      </c>
      <c r="S277" s="6" t="n">
        <v>0</v>
      </c>
      <c r="T277" s="6" t="inlineStr">
        <is>
          <t>预测D级</t>
        </is>
      </c>
      <c r="U277" s="6" t="n">
        <v>0</v>
      </c>
      <c r="V277" s="6" t="n">
        <v>0</v>
      </c>
      <c r="W277" s="6" t="n">
        <v>0</v>
      </c>
      <c r="X277" s="6" t="n">
        <v>0</v>
      </c>
      <c r="Y277" s="6" t="n">
        <v>0</v>
      </c>
      <c r="Z277" s="6" t="n">
        <v>0</v>
      </c>
      <c r="AA277" s="9">
        <f>P277*(1-R277)*((1-B277)*Q277-B277*'模型说明与假设'!$B$7-'模型说明与假设'!$B$8)</f>
        <v/>
      </c>
      <c r="AB277" s="6" t="b">
        <v>0</v>
      </c>
      <c r="AC277" s="6" t="n">
        <v>0.5609139296509208</v>
      </c>
      <c r="AD277" s="6" t="inlineStr">
        <is>
          <t>D</t>
        </is>
      </c>
      <c r="AE277" s="6" t="n">
        <v>0</v>
      </c>
      <c r="AF277" s="6" t="n">
        <v>0</v>
      </c>
      <c r="AG277" s="6" t="n">
        <v>0</v>
      </c>
      <c r="AH277" s="6" t="n">
        <v>0</v>
      </c>
    </row>
    <row r="278">
      <c r="A278" s="6" t="inlineStr">
        <is>
          <t>E406</t>
        </is>
      </c>
      <c r="B278" s="6" t="n">
        <v>0.5706048298203987</v>
      </c>
      <c r="C278" s="6" t="inlineStr">
        <is>
          <t>D</t>
        </is>
      </c>
      <c r="D278" s="6" t="n">
        <v>0.5841604666934588</v>
      </c>
      <c r="E278" s="6" t="n">
        <v>0.134576927270239</v>
      </c>
      <c r="F278" s="6" t="n">
        <v>0.189050136756485</v>
      </c>
      <c r="G278" s="6" t="n">
        <v>277</v>
      </c>
      <c r="H278" s="6" t="n">
        <v>235</v>
      </c>
      <c r="I278" s="6" t="inlineStr">
        <is>
          <t>***招投标代理有限公司</t>
        </is>
      </c>
      <c r="J278" s="6" t="b">
        <v>1</v>
      </c>
      <c r="K278" s="6" t="inlineStr">
        <is>
          <t>其他</t>
        </is>
      </c>
      <c r="L278" s="6" t="n">
        <v>0.3</v>
      </c>
      <c r="M278" s="6" t="n">
        <v>1</v>
      </c>
      <c r="N278" s="6" t="n">
        <v>0.5706048298203987</v>
      </c>
      <c r="O278" s="6" t="inlineStr">
        <is>
          <t>D</t>
        </is>
      </c>
      <c r="P278" s="6" t="n">
        <v>0</v>
      </c>
      <c r="Q278" s="6" t="n">
        <v>0</v>
      </c>
      <c r="R278" s="6" t="n">
        <v>0</v>
      </c>
      <c r="S278" s="6" t="n">
        <v>0</v>
      </c>
      <c r="T278" s="6" t="inlineStr">
        <is>
          <t>预测D级</t>
        </is>
      </c>
      <c r="U278" s="6" t="n">
        <v>0</v>
      </c>
      <c r="V278" s="6" t="n">
        <v>0</v>
      </c>
      <c r="W278" s="6" t="n">
        <v>0</v>
      </c>
      <c r="X278" s="6" t="n">
        <v>0</v>
      </c>
      <c r="Y278" s="6" t="n">
        <v>0</v>
      </c>
      <c r="Z278" s="6" t="n">
        <v>0</v>
      </c>
      <c r="AA278" s="9">
        <f>P278*(1-R278)*((1-B278)*Q278-B278*'模型说明与假设'!$B$7-'模型说明与假设'!$B$8)</f>
        <v/>
      </c>
      <c r="AB278" s="6" t="b">
        <v>0</v>
      </c>
      <c r="AC278" s="6" t="n">
        <v>0.5706048298203987</v>
      </c>
      <c r="AD278" s="6" t="inlineStr">
        <is>
          <t>D</t>
        </is>
      </c>
      <c r="AE278" s="6" t="n">
        <v>0</v>
      </c>
      <c r="AF278" s="6" t="n">
        <v>0</v>
      </c>
      <c r="AG278" s="6" t="n">
        <v>0</v>
      </c>
      <c r="AH278" s="6" t="n">
        <v>0</v>
      </c>
    </row>
    <row r="279">
      <c r="A279" s="6" t="inlineStr">
        <is>
          <t>E381</t>
        </is>
      </c>
      <c r="B279" s="6" t="n">
        <v>0.5500397346094082</v>
      </c>
      <c r="C279" s="6" t="inlineStr">
        <is>
          <t>D</t>
        </is>
      </c>
      <c r="D279" s="6" t="n">
        <v>0.4376463548870577</v>
      </c>
      <c r="E279" s="6" t="n">
        <v>0.196522830115809</v>
      </c>
      <c r="F279" s="6" t="n">
        <v>0.1529420161133635</v>
      </c>
      <c r="G279" s="6" t="n">
        <v>278</v>
      </c>
      <c r="H279" s="6" t="n">
        <v>297</v>
      </c>
      <c r="I279" s="6" t="inlineStr">
        <is>
          <t>***通信网络工程有限公司</t>
        </is>
      </c>
      <c r="J279" s="6" t="b">
        <v>1</v>
      </c>
      <c r="K279" s="6" t="inlineStr">
        <is>
          <t>正面/轻影响</t>
        </is>
      </c>
      <c r="L279" s="6" t="n">
        <v>0.9</v>
      </c>
      <c r="M279" s="6" t="n">
        <v>0.9</v>
      </c>
      <c r="N279" s="6" t="n">
        <v>0.5759554409140943</v>
      </c>
      <c r="O279" s="6" t="inlineStr">
        <is>
          <t>D</t>
        </is>
      </c>
      <c r="P279" s="6" t="n">
        <v>0</v>
      </c>
      <c r="Q279" s="6" t="n">
        <v>0</v>
      </c>
      <c r="R279" s="6" t="n">
        <v>0</v>
      </c>
      <c r="S279" s="6" t="n">
        <v>0</v>
      </c>
      <c r="T279" s="6" t="inlineStr">
        <is>
          <t>预测D级</t>
        </is>
      </c>
      <c r="U279" s="6" t="n">
        <v>0</v>
      </c>
      <c r="V279" s="6" t="n">
        <v>0</v>
      </c>
      <c r="W279" s="6" t="n">
        <v>0</v>
      </c>
      <c r="X279" s="6" t="n">
        <v>0</v>
      </c>
      <c r="Y279" s="6" t="n">
        <v>0</v>
      </c>
      <c r="Z279" s="6" t="n">
        <v>0</v>
      </c>
      <c r="AA279" s="9">
        <f>P279*(1-R279)*((1-B279)*Q279-B279*'模型说明与假设'!$B$7-'模型说明与假设'!$B$8)</f>
        <v/>
      </c>
      <c r="AB279" s="6" t="b">
        <v>0</v>
      </c>
      <c r="AC279" s="6" t="n">
        <v>0.5759554409140943</v>
      </c>
      <c r="AD279" s="6" t="inlineStr">
        <is>
          <t>D</t>
        </is>
      </c>
      <c r="AE279" s="6" t="n">
        <v>0</v>
      </c>
      <c r="AF279" s="6" t="n">
        <v>0</v>
      </c>
      <c r="AG279" s="6" t="n">
        <v>0</v>
      </c>
      <c r="AH279" s="6" t="n">
        <v>0</v>
      </c>
    </row>
    <row r="280">
      <c r="A280" s="6" t="inlineStr">
        <is>
          <t>E240</t>
        </is>
      </c>
      <c r="B280" s="6" t="n">
        <v>0.6204809997885711</v>
      </c>
      <c r="C280" s="6" t="inlineStr">
        <is>
          <t>D</t>
        </is>
      </c>
      <c r="D280" s="6" t="n">
        <v>0.5044259139856231</v>
      </c>
      <c r="E280" s="6" t="n">
        <v>0.1769551493964369</v>
      </c>
      <c r="F280" s="6" t="n">
        <v>0.1801158807286195</v>
      </c>
      <c r="G280" s="6" t="n">
        <v>279</v>
      </c>
      <c r="H280" s="6" t="n">
        <v>280</v>
      </c>
      <c r="I280" s="6" t="inlineStr">
        <is>
          <t xml:space="preserve">个体经营E240 </t>
        </is>
      </c>
      <c r="J280" s="6" t="b">
        <v>1</v>
      </c>
      <c r="K280" s="6" t="inlineStr">
        <is>
          <t>未知</t>
        </is>
      </c>
      <c r="L280" s="6" t="n">
        <v>0</v>
      </c>
      <c r="M280" s="6" t="n">
        <v>1</v>
      </c>
      <c r="N280" s="6" t="n">
        <v>0.6204809997885711</v>
      </c>
      <c r="O280" s="6" t="inlineStr">
        <is>
          <t>D</t>
        </is>
      </c>
      <c r="P280" s="6" t="n">
        <v>0</v>
      </c>
      <c r="Q280" s="6" t="n">
        <v>0</v>
      </c>
      <c r="R280" s="6" t="n">
        <v>0</v>
      </c>
      <c r="S280" s="6" t="n">
        <v>0</v>
      </c>
      <c r="T280" s="6" t="inlineStr">
        <is>
          <t>预测D级</t>
        </is>
      </c>
      <c r="U280" s="6" t="n">
        <v>0</v>
      </c>
      <c r="V280" s="6" t="n">
        <v>0</v>
      </c>
      <c r="W280" s="6" t="n">
        <v>0</v>
      </c>
      <c r="X280" s="6" t="n">
        <v>0</v>
      </c>
      <c r="Y280" s="6" t="n">
        <v>0</v>
      </c>
      <c r="Z280" s="6" t="n">
        <v>0</v>
      </c>
      <c r="AA280" s="9">
        <f>P280*(1-R280)*((1-B280)*Q280-B280*'模型说明与假设'!$B$7-'模型说明与假设'!$B$8)</f>
        <v/>
      </c>
      <c r="AB280" s="6" t="b">
        <v>0</v>
      </c>
      <c r="AC280" s="6" t="n">
        <v>0.6204809997885711</v>
      </c>
      <c r="AD280" s="6" t="inlineStr">
        <is>
          <t>D</t>
        </is>
      </c>
      <c r="AE280" s="6" t="n">
        <v>0</v>
      </c>
      <c r="AF280" s="6" t="n">
        <v>0</v>
      </c>
      <c r="AG280" s="6" t="n">
        <v>0</v>
      </c>
      <c r="AH280" s="6" t="n">
        <v>0</v>
      </c>
    </row>
    <row r="281">
      <c r="A281" s="6" t="inlineStr">
        <is>
          <t>E420</t>
        </is>
      </c>
      <c r="B281" s="6" t="n">
        <v>0.6231680503851171</v>
      </c>
      <c r="C281" s="6" t="inlineStr">
        <is>
          <t>D</t>
        </is>
      </c>
      <c r="D281" s="6" t="n">
        <v>0.4394520802437065</v>
      </c>
      <c r="E281" s="6" t="n">
        <v>0.2021452498640878</v>
      </c>
      <c r="F281" s="6" t="n">
        <v>0.158475569051757</v>
      </c>
      <c r="G281" s="6" t="n">
        <v>280</v>
      </c>
      <c r="H281" s="6" t="n">
        <v>296</v>
      </c>
      <c r="I281" s="6" t="inlineStr">
        <is>
          <t>***康药房</t>
        </is>
      </c>
      <c r="J281" s="6" t="b">
        <v>1</v>
      </c>
      <c r="K281" s="6" t="inlineStr">
        <is>
          <t>其他</t>
        </is>
      </c>
      <c r="L281" s="6" t="n">
        <v>0.3</v>
      </c>
      <c r="M281" s="6" t="n">
        <v>1</v>
      </c>
      <c r="N281" s="6" t="n">
        <v>0.6231680503851171</v>
      </c>
      <c r="O281" s="6" t="inlineStr">
        <is>
          <t>D</t>
        </is>
      </c>
      <c r="P281" s="6" t="n">
        <v>0</v>
      </c>
      <c r="Q281" s="6" t="n">
        <v>0</v>
      </c>
      <c r="R281" s="6" t="n">
        <v>0</v>
      </c>
      <c r="S281" s="6" t="n">
        <v>0</v>
      </c>
      <c r="T281" s="6" t="inlineStr">
        <is>
          <t>预测D级</t>
        </is>
      </c>
      <c r="U281" s="6" t="n">
        <v>0</v>
      </c>
      <c r="V281" s="6" t="n">
        <v>0</v>
      </c>
      <c r="W281" s="6" t="n">
        <v>0</v>
      </c>
      <c r="X281" s="6" t="n">
        <v>0</v>
      </c>
      <c r="Y281" s="6" t="n">
        <v>0</v>
      </c>
      <c r="Z281" s="6" t="n">
        <v>0</v>
      </c>
      <c r="AA281" s="9">
        <f>P281*(1-R281)*((1-B281)*Q281-B281*'模型说明与假设'!$B$7-'模型说明与假设'!$B$8)</f>
        <v/>
      </c>
      <c r="AB281" s="6" t="b">
        <v>0</v>
      </c>
      <c r="AC281" s="6" t="n">
        <v>0.6231680503851171</v>
      </c>
      <c r="AD281" s="6" t="inlineStr">
        <is>
          <t>D</t>
        </is>
      </c>
      <c r="AE281" s="6" t="n">
        <v>0</v>
      </c>
      <c r="AF281" s="6" t="n">
        <v>0</v>
      </c>
      <c r="AG281" s="6" t="n">
        <v>0</v>
      </c>
      <c r="AH281" s="6" t="n">
        <v>0</v>
      </c>
    </row>
    <row r="282">
      <c r="A282" s="6" t="inlineStr">
        <is>
          <t>E416</t>
        </is>
      </c>
      <c r="B282" s="6" t="n">
        <v>0.6099161318291949</v>
      </c>
      <c r="C282" s="6" t="inlineStr">
        <is>
          <t>D</t>
        </is>
      </c>
      <c r="D282" s="6" t="n">
        <v>0.4949548830832032</v>
      </c>
      <c r="E282" s="6" t="n">
        <v>0.1726186447550994</v>
      </c>
      <c r="F282" s="6" t="n">
        <v>0.1691699182329026</v>
      </c>
      <c r="G282" s="6" t="n">
        <v>281</v>
      </c>
      <c r="H282" s="6" t="n">
        <v>284</v>
      </c>
      <c r="I282" s="6" t="inlineStr">
        <is>
          <t>***科技有限公司</t>
        </is>
      </c>
      <c r="J282" s="6" t="b">
        <v>1</v>
      </c>
      <c r="K282" s="6" t="inlineStr">
        <is>
          <t>正面/轻影响</t>
        </is>
      </c>
      <c r="L282" s="6" t="n">
        <v>0.9</v>
      </c>
      <c r="M282" s="6" t="n">
        <v>0.9</v>
      </c>
      <c r="N282" s="6" t="n">
        <v>0.6346737301994547</v>
      </c>
      <c r="O282" s="6" t="inlineStr">
        <is>
          <t>D</t>
        </is>
      </c>
      <c r="P282" s="6" t="n">
        <v>0</v>
      </c>
      <c r="Q282" s="6" t="n">
        <v>0</v>
      </c>
      <c r="R282" s="6" t="n">
        <v>0</v>
      </c>
      <c r="S282" s="6" t="n">
        <v>0</v>
      </c>
      <c r="T282" s="6" t="inlineStr">
        <is>
          <t>预测D级</t>
        </is>
      </c>
      <c r="U282" s="6" t="n">
        <v>0</v>
      </c>
      <c r="V282" s="6" t="n">
        <v>0</v>
      </c>
      <c r="W282" s="6" t="n">
        <v>0</v>
      </c>
      <c r="X282" s="6" t="n">
        <v>0</v>
      </c>
      <c r="Y282" s="6" t="n">
        <v>0</v>
      </c>
      <c r="Z282" s="6" t="n">
        <v>0</v>
      </c>
      <c r="AA282" s="9">
        <f>P282*(1-R282)*((1-B282)*Q282-B282*'模型说明与假设'!$B$7-'模型说明与假设'!$B$8)</f>
        <v/>
      </c>
      <c r="AB282" s="6" t="b">
        <v>0</v>
      </c>
      <c r="AC282" s="6" t="n">
        <v>0.6346737301994547</v>
      </c>
      <c r="AD282" s="6" t="inlineStr">
        <is>
          <t>D</t>
        </is>
      </c>
      <c r="AE282" s="6" t="n">
        <v>0</v>
      </c>
      <c r="AF282" s="6" t="n">
        <v>0</v>
      </c>
      <c r="AG282" s="6" t="n">
        <v>0</v>
      </c>
      <c r="AH282" s="6" t="n">
        <v>0</v>
      </c>
    </row>
    <row r="283">
      <c r="A283" s="6" t="inlineStr">
        <is>
          <t>E394</t>
        </is>
      </c>
      <c r="B283" s="6" t="n">
        <v>0.66277519716227</v>
      </c>
      <c r="C283" s="6" t="inlineStr">
        <is>
          <t>D</t>
        </is>
      </c>
      <c r="D283" s="6" t="n">
        <v>0.5939847489838708</v>
      </c>
      <c r="E283" s="6" t="n">
        <v>0.1313188033232508</v>
      </c>
      <c r="F283" s="6" t="n">
        <v>0.1921143755896124</v>
      </c>
      <c r="G283" s="6" t="n">
        <v>282</v>
      </c>
      <c r="H283" s="6" t="n">
        <v>229</v>
      </c>
      <c r="I283" s="6" t="inlineStr">
        <is>
          <t>***环保设计研究院（有限合伙）</t>
        </is>
      </c>
      <c r="J283" s="6" t="b">
        <v>1</v>
      </c>
      <c r="K283" s="6" t="inlineStr">
        <is>
          <t>其他</t>
        </is>
      </c>
      <c r="L283" s="6" t="n">
        <v>0.3</v>
      </c>
      <c r="M283" s="6" t="n">
        <v>1</v>
      </c>
      <c r="N283" s="6" t="n">
        <v>0.66277519716227</v>
      </c>
      <c r="O283" s="6" t="inlineStr">
        <is>
          <t>D</t>
        </is>
      </c>
      <c r="P283" s="6" t="n">
        <v>0</v>
      </c>
      <c r="Q283" s="6" t="n">
        <v>0</v>
      </c>
      <c r="R283" s="6" t="n">
        <v>0</v>
      </c>
      <c r="S283" s="6" t="n">
        <v>0</v>
      </c>
      <c r="T283" s="6" t="inlineStr">
        <is>
          <t>预测D级</t>
        </is>
      </c>
      <c r="U283" s="6" t="n">
        <v>0</v>
      </c>
      <c r="V283" s="6" t="n">
        <v>0</v>
      </c>
      <c r="W283" s="6" t="n">
        <v>0</v>
      </c>
      <c r="X283" s="6" t="n">
        <v>0</v>
      </c>
      <c r="Y283" s="6" t="n">
        <v>0</v>
      </c>
      <c r="Z283" s="6" t="n">
        <v>0</v>
      </c>
      <c r="AA283" s="9">
        <f>P283*(1-R283)*((1-B283)*Q283-B283*'模型说明与假设'!$B$7-'模型说明与假设'!$B$8)</f>
        <v/>
      </c>
      <c r="AB283" s="6" t="b">
        <v>0</v>
      </c>
      <c r="AC283" s="6" t="n">
        <v>0.66277519716227</v>
      </c>
      <c r="AD283" s="6" t="inlineStr">
        <is>
          <t>D</t>
        </is>
      </c>
      <c r="AE283" s="6" t="n">
        <v>0</v>
      </c>
      <c r="AF283" s="6" t="n">
        <v>0</v>
      </c>
      <c r="AG283" s="6" t="n">
        <v>0</v>
      </c>
      <c r="AH283" s="6" t="n">
        <v>0</v>
      </c>
    </row>
    <row r="284">
      <c r="A284" s="6" t="inlineStr">
        <is>
          <t>E187</t>
        </is>
      </c>
      <c r="B284" s="6" t="n">
        <v>0.6676408856595872</v>
      </c>
      <c r="C284" s="6" t="inlineStr">
        <is>
          <t>D</t>
        </is>
      </c>
      <c r="D284" s="6" t="n">
        <v>0.466121670724812</v>
      </c>
      <c r="E284" s="6" t="n">
        <v>0.1911000384245089</v>
      </c>
      <c r="F284" s="6" t="n">
        <v>0.1668467594609813</v>
      </c>
      <c r="G284" s="6" t="n">
        <v>283</v>
      </c>
      <c r="H284" s="6" t="n">
        <v>290</v>
      </c>
      <c r="I284" s="6" t="inlineStr">
        <is>
          <t xml:space="preserve">个体经营E187 </t>
        </is>
      </c>
      <c r="J284" s="6" t="b">
        <v>1</v>
      </c>
      <c r="K284" s="6" t="inlineStr">
        <is>
          <t>未知</t>
        </is>
      </c>
      <c r="L284" s="6" t="n">
        <v>0</v>
      </c>
      <c r="M284" s="6" t="n">
        <v>1</v>
      </c>
      <c r="N284" s="6" t="n">
        <v>0.6676408856595872</v>
      </c>
      <c r="O284" s="6" t="inlineStr">
        <is>
          <t>D</t>
        </is>
      </c>
      <c r="P284" s="6" t="n">
        <v>0</v>
      </c>
      <c r="Q284" s="6" t="n">
        <v>0</v>
      </c>
      <c r="R284" s="6" t="n">
        <v>0</v>
      </c>
      <c r="S284" s="6" t="n">
        <v>0</v>
      </c>
      <c r="T284" s="6" t="inlineStr">
        <is>
          <t>预测D级</t>
        </is>
      </c>
      <c r="U284" s="6" t="n">
        <v>0</v>
      </c>
      <c r="V284" s="6" t="n">
        <v>0</v>
      </c>
      <c r="W284" s="6" t="n">
        <v>0</v>
      </c>
      <c r="X284" s="6" t="n">
        <v>0</v>
      </c>
      <c r="Y284" s="6" t="n">
        <v>0</v>
      </c>
      <c r="Z284" s="6" t="n">
        <v>0</v>
      </c>
      <c r="AA284" s="9">
        <f>P284*(1-R284)*((1-B284)*Q284-B284*'模型说明与假设'!$B$7-'模型说明与假设'!$B$8)</f>
        <v/>
      </c>
      <c r="AB284" s="6" t="b">
        <v>0</v>
      </c>
      <c r="AC284" s="6" t="n">
        <v>0.6676408856595872</v>
      </c>
      <c r="AD284" s="6" t="inlineStr">
        <is>
          <t>D</t>
        </is>
      </c>
      <c r="AE284" s="6" t="n">
        <v>0</v>
      </c>
      <c r="AF284" s="6" t="n">
        <v>0</v>
      </c>
      <c r="AG284" s="6" t="n">
        <v>0</v>
      </c>
      <c r="AH284" s="6" t="n">
        <v>0</v>
      </c>
    </row>
    <row r="285">
      <c r="A285" s="6" t="inlineStr">
        <is>
          <t>E373</t>
        </is>
      </c>
      <c r="B285" s="6" t="n">
        <v>0.6867396516242826</v>
      </c>
      <c r="C285" s="6" t="inlineStr">
        <is>
          <t>D</t>
        </is>
      </c>
      <c r="D285" s="6" t="n">
        <v>0.4526306986719358</v>
      </c>
      <c r="E285" s="6" t="n">
        <v>0.1961469649259608</v>
      </c>
      <c r="F285" s="6" t="n">
        <v>0.1621978754771379</v>
      </c>
      <c r="G285" s="6" t="n">
        <v>284</v>
      </c>
      <c r="H285" s="6" t="n">
        <v>294</v>
      </c>
      <c r="I285" s="6" t="inlineStr">
        <is>
          <t xml:space="preserve">个体经营E373 </t>
        </is>
      </c>
      <c r="J285" s="6" t="b">
        <v>1</v>
      </c>
      <c r="K285" s="6" t="inlineStr">
        <is>
          <t>未知</t>
        </is>
      </c>
      <c r="L285" s="6" t="n">
        <v>0</v>
      </c>
      <c r="M285" s="6" t="n">
        <v>1</v>
      </c>
      <c r="N285" s="6" t="n">
        <v>0.6867396516242826</v>
      </c>
      <c r="O285" s="6" t="inlineStr">
        <is>
          <t>D</t>
        </is>
      </c>
      <c r="P285" s="6" t="n">
        <v>0</v>
      </c>
      <c r="Q285" s="6" t="n">
        <v>0</v>
      </c>
      <c r="R285" s="6" t="n">
        <v>0</v>
      </c>
      <c r="S285" s="6" t="n">
        <v>0</v>
      </c>
      <c r="T285" s="6" t="inlineStr">
        <is>
          <t>预测D级</t>
        </is>
      </c>
      <c r="U285" s="6" t="n">
        <v>0</v>
      </c>
      <c r="V285" s="6" t="n">
        <v>0</v>
      </c>
      <c r="W285" s="6" t="n">
        <v>0</v>
      </c>
      <c r="X285" s="6" t="n">
        <v>0</v>
      </c>
      <c r="Y285" s="6" t="n">
        <v>0</v>
      </c>
      <c r="Z285" s="6" t="n">
        <v>0</v>
      </c>
      <c r="AA285" s="9">
        <f>P285*(1-R285)*((1-B285)*Q285-B285*'模型说明与假设'!$B$7-'模型说明与假设'!$B$8)</f>
        <v/>
      </c>
      <c r="AB285" s="6" t="b">
        <v>0</v>
      </c>
      <c r="AC285" s="6" t="n">
        <v>0.6867396516242826</v>
      </c>
      <c r="AD285" s="6" t="inlineStr">
        <is>
          <t>D</t>
        </is>
      </c>
      <c r="AE285" s="6" t="n">
        <v>0</v>
      </c>
      <c r="AF285" s="6" t="n">
        <v>0</v>
      </c>
      <c r="AG285" s="6" t="n">
        <v>0</v>
      </c>
      <c r="AH285" s="6" t="n">
        <v>0</v>
      </c>
    </row>
    <row r="286">
      <c r="A286" s="6" t="inlineStr">
        <is>
          <t>E405</t>
        </is>
      </c>
      <c r="B286" s="6" t="n">
        <v>0.690660903967762</v>
      </c>
      <c r="C286" s="6" t="inlineStr">
        <is>
          <t>D</t>
        </is>
      </c>
      <c r="D286" s="6" t="n">
        <v>0.5008066584182438</v>
      </c>
      <c r="E286" s="6" t="n">
        <v>0.169312252280879</v>
      </c>
      <c r="F286" s="6" t="n">
        <v>0.1698594436884464</v>
      </c>
      <c r="G286" s="6" t="n">
        <v>285</v>
      </c>
      <c r="H286" s="6" t="n">
        <v>282</v>
      </c>
      <c r="I286" s="6" t="inlineStr">
        <is>
          <t>***职业技能服务有限公司</t>
        </is>
      </c>
      <c r="J286" s="6" t="b">
        <v>1</v>
      </c>
      <c r="K286" s="6" t="inlineStr">
        <is>
          <t>其他</t>
        </is>
      </c>
      <c r="L286" s="6" t="n">
        <v>0.3</v>
      </c>
      <c r="M286" s="6" t="n">
        <v>1</v>
      </c>
      <c r="N286" s="6" t="n">
        <v>0.690660903967762</v>
      </c>
      <c r="O286" s="6" t="inlineStr">
        <is>
          <t>D</t>
        </is>
      </c>
      <c r="P286" s="6" t="n">
        <v>0</v>
      </c>
      <c r="Q286" s="6" t="n">
        <v>0</v>
      </c>
      <c r="R286" s="6" t="n">
        <v>0</v>
      </c>
      <c r="S286" s="6" t="n">
        <v>0</v>
      </c>
      <c r="T286" s="6" t="inlineStr">
        <is>
          <t>预测D级</t>
        </is>
      </c>
      <c r="U286" s="6" t="n">
        <v>0</v>
      </c>
      <c r="V286" s="6" t="n">
        <v>0</v>
      </c>
      <c r="W286" s="6" t="n">
        <v>0</v>
      </c>
      <c r="X286" s="6" t="n">
        <v>0</v>
      </c>
      <c r="Y286" s="6" t="n">
        <v>0</v>
      </c>
      <c r="Z286" s="6" t="n">
        <v>0</v>
      </c>
      <c r="AA286" s="9">
        <f>P286*(1-R286)*((1-B286)*Q286-B286*'模型说明与假设'!$B$7-'模型说明与假设'!$B$8)</f>
        <v/>
      </c>
      <c r="AB286" s="6" t="b">
        <v>0</v>
      </c>
      <c r="AC286" s="6" t="n">
        <v>0.690660903967762</v>
      </c>
      <c r="AD286" s="6" t="inlineStr">
        <is>
          <t>D</t>
        </is>
      </c>
      <c r="AE286" s="6" t="n">
        <v>0</v>
      </c>
      <c r="AF286" s="6" t="n">
        <v>0</v>
      </c>
      <c r="AG286" s="6" t="n">
        <v>0</v>
      </c>
      <c r="AH286" s="6" t="n">
        <v>0</v>
      </c>
    </row>
    <row r="287">
      <c r="A287" s="6" t="inlineStr">
        <is>
          <t>E402</t>
        </is>
      </c>
      <c r="B287" s="6" t="n">
        <v>0.7280831343952504</v>
      </c>
      <c r="C287" s="6" t="inlineStr">
        <is>
          <t>D</t>
        </is>
      </c>
      <c r="D287" s="6" t="n">
        <v>0.4863222247592214</v>
      </c>
      <c r="E287" s="6" t="n">
        <v>0.1702878338055407</v>
      </c>
      <c r="F287" s="6" t="n">
        <v>0.1612192743727738</v>
      </c>
      <c r="G287" s="6" t="n">
        <v>286</v>
      </c>
      <c r="H287" s="6" t="n">
        <v>288</v>
      </c>
      <c r="I287" s="6" t="inlineStr">
        <is>
          <t>***商贸有限公司</t>
        </is>
      </c>
      <c r="J287" s="6" t="b">
        <v>1</v>
      </c>
      <c r="K287" s="6" t="inlineStr">
        <is>
          <t>中度负面</t>
        </is>
      </c>
      <c r="L287" s="6" t="n">
        <v>0.9</v>
      </c>
      <c r="M287" s="6" t="n">
        <v>1.15</v>
      </c>
      <c r="N287" s="6" t="n">
        <v>0.6995502093560634</v>
      </c>
      <c r="O287" s="6" t="inlineStr">
        <is>
          <t>D</t>
        </is>
      </c>
      <c r="P287" s="6" t="n">
        <v>0</v>
      </c>
      <c r="Q287" s="6" t="n">
        <v>0</v>
      </c>
      <c r="R287" s="6" t="n">
        <v>0</v>
      </c>
      <c r="S287" s="6" t="n">
        <v>0</v>
      </c>
      <c r="T287" s="6" t="inlineStr">
        <is>
          <t>预测D级</t>
        </is>
      </c>
      <c r="U287" s="6" t="n">
        <v>0</v>
      </c>
      <c r="V287" s="6" t="n">
        <v>0</v>
      </c>
      <c r="W287" s="6" t="n">
        <v>0</v>
      </c>
      <c r="X287" s="6" t="n">
        <v>0</v>
      </c>
      <c r="Y287" s="6" t="n">
        <v>0</v>
      </c>
      <c r="Z287" s="6" t="n">
        <v>0</v>
      </c>
      <c r="AA287" s="9">
        <f>P287*(1-R287)*((1-B287)*Q287-B287*'模型说明与假设'!$B$7-'模型说明与假设'!$B$8)</f>
        <v/>
      </c>
      <c r="AB287" s="6" t="b">
        <v>0</v>
      </c>
      <c r="AC287" s="6" t="n">
        <v>0.6995502093560634</v>
      </c>
      <c r="AD287" s="6" t="inlineStr">
        <is>
          <t>D</t>
        </is>
      </c>
      <c r="AE287" s="6" t="n">
        <v>0</v>
      </c>
      <c r="AF287" s="6" t="n">
        <v>0</v>
      </c>
      <c r="AG287" s="6" t="n">
        <v>0</v>
      </c>
      <c r="AH287" s="6" t="n">
        <v>0</v>
      </c>
    </row>
    <row r="288">
      <c r="A288" s="6" t="inlineStr">
        <is>
          <t>E242</t>
        </is>
      </c>
      <c r="B288" s="6" t="n">
        <v>0.7093377336511719</v>
      </c>
      <c r="C288" s="6" t="inlineStr">
        <is>
          <t>D</t>
        </is>
      </c>
      <c r="D288" s="6" t="n">
        <v>0.4549982564034051</v>
      </c>
      <c r="E288" s="6" t="n">
        <v>0.192964037912246</v>
      </c>
      <c r="F288" s="6" t="n">
        <v>0.1610972842384518</v>
      </c>
      <c r="G288" s="6" t="n">
        <v>287</v>
      </c>
      <c r="H288" s="6" t="n">
        <v>292</v>
      </c>
      <c r="I288" s="6" t="inlineStr">
        <is>
          <t xml:space="preserve">个体经营E242 </t>
        </is>
      </c>
      <c r="J288" s="6" t="b">
        <v>1</v>
      </c>
      <c r="K288" s="6" t="inlineStr">
        <is>
          <t>未知</t>
        </is>
      </c>
      <c r="L288" s="6" t="n">
        <v>0</v>
      </c>
      <c r="M288" s="6" t="n">
        <v>1</v>
      </c>
      <c r="N288" s="6" t="n">
        <v>0.7093377336511719</v>
      </c>
      <c r="O288" s="6" t="inlineStr">
        <is>
          <t>D</t>
        </is>
      </c>
      <c r="P288" s="6" t="n">
        <v>0</v>
      </c>
      <c r="Q288" s="6" t="n">
        <v>0</v>
      </c>
      <c r="R288" s="6" t="n">
        <v>0</v>
      </c>
      <c r="S288" s="6" t="n">
        <v>0</v>
      </c>
      <c r="T288" s="6" t="inlineStr">
        <is>
          <t>预测D级</t>
        </is>
      </c>
      <c r="U288" s="6" t="n">
        <v>0</v>
      </c>
      <c r="V288" s="6" t="n">
        <v>0</v>
      </c>
      <c r="W288" s="6" t="n">
        <v>0</v>
      </c>
      <c r="X288" s="6" t="n">
        <v>0</v>
      </c>
      <c r="Y288" s="6" t="n">
        <v>0</v>
      </c>
      <c r="Z288" s="6" t="n">
        <v>0</v>
      </c>
      <c r="AA288" s="9">
        <f>P288*(1-R288)*((1-B288)*Q288-B288*'模型说明与假设'!$B$7-'模型说明与假设'!$B$8)</f>
        <v/>
      </c>
      <c r="AB288" s="6" t="b">
        <v>0</v>
      </c>
      <c r="AC288" s="6" t="n">
        <v>0.7093377336511719</v>
      </c>
      <c r="AD288" s="6" t="inlineStr">
        <is>
          <t>D</t>
        </is>
      </c>
      <c r="AE288" s="6" t="n">
        <v>0</v>
      </c>
      <c r="AF288" s="6" t="n">
        <v>0</v>
      </c>
      <c r="AG288" s="6" t="n">
        <v>0</v>
      </c>
      <c r="AH288" s="6" t="n">
        <v>0</v>
      </c>
    </row>
    <row r="289">
      <c r="A289" s="6" t="inlineStr">
        <is>
          <t>E264</t>
        </is>
      </c>
      <c r="B289" s="6" t="n">
        <v>0.7121724165705832</v>
      </c>
      <c r="C289" s="6" t="inlineStr">
        <is>
          <t>D</t>
        </is>
      </c>
      <c r="D289" s="6" t="n">
        <v>0.4348677972930069</v>
      </c>
      <c r="E289" s="6" t="n">
        <v>0.2064465595022148</v>
      </c>
      <c r="F289" s="6" t="n">
        <v>0.1588601041657415</v>
      </c>
      <c r="G289" s="6" t="n">
        <v>288</v>
      </c>
      <c r="H289" s="6" t="n">
        <v>298</v>
      </c>
      <c r="I289" s="6" t="inlineStr">
        <is>
          <t xml:space="preserve">个体经营E264 </t>
        </is>
      </c>
      <c r="J289" s="6" t="b">
        <v>1</v>
      </c>
      <c r="K289" s="6" t="inlineStr">
        <is>
          <t>未知</t>
        </is>
      </c>
      <c r="L289" s="6" t="n">
        <v>0</v>
      </c>
      <c r="M289" s="6" t="n">
        <v>1</v>
      </c>
      <c r="N289" s="6" t="n">
        <v>0.7121724165705832</v>
      </c>
      <c r="O289" s="6" t="inlineStr">
        <is>
          <t>D</t>
        </is>
      </c>
      <c r="P289" s="6" t="n">
        <v>0</v>
      </c>
      <c r="Q289" s="6" t="n">
        <v>0</v>
      </c>
      <c r="R289" s="6" t="n">
        <v>0</v>
      </c>
      <c r="S289" s="6" t="n">
        <v>0</v>
      </c>
      <c r="T289" s="6" t="inlineStr">
        <is>
          <t>预测D级</t>
        </is>
      </c>
      <c r="U289" s="6" t="n">
        <v>0</v>
      </c>
      <c r="V289" s="6" t="n">
        <v>0</v>
      </c>
      <c r="W289" s="6" t="n">
        <v>0</v>
      </c>
      <c r="X289" s="6" t="n">
        <v>0</v>
      </c>
      <c r="Y289" s="6" t="n">
        <v>0</v>
      </c>
      <c r="Z289" s="6" t="n">
        <v>0</v>
      </c>
      <c r="AA289" s="9">
        <f>P289*(1-R289)*((1-B289)*Q289-B289*'模型说明与假设'!$B$7-'模型说明与假设'!$B$8)</f>
        <v/>
      </c>
      <c r="AB289" s="6" t="b">
        <v>0</v>
      </c>
      <c r="AC289" s="6" t="n">
        <v>0.7121724165705832</v>
      </c>
      <c r="AD289" s="6" t="inlineStr">
        <is>
          <t>D</t>
        </is>
      </c>
      <c r="AE289" s="6" t="n">
        <v>0</v>
      </c>
      <c r="AF289" s="6" t="n">
        <v>0</v>
      </c>
      <c r="AG289" s="6" t="n">
        <v>0</v>
      </c>
      <c r="AH289" s="6" t="n">
        <v>0</v>
      </c>
    </row>
    <row r="290">
      <c r="A290" s="6" t="inlineStr">
        <is>
          <t>E418</t>
        </is>
      </c>
      <c r="B290" s="6" t="n">
        <v>0.7123981652605675</v>
      </c>
      <c r="C290" s="6" t="inlineStr">
        <is>
          <t>D</t>
        </is>
      </c>
      <c r="D290" s="6" t="n">
        <v>0.5256848185045385</v>
      </c>
      <c r="E290" s="6" t="n">
        <v>0.163333216571625</v>
      </c>
      <c r="F290" s="6" t="n">
        <v>0.18102265257145</v>
      </c>
      <c r="G290" s="6" t="n">
        <v>289</v>
      </c>
      <c r="H290" s="6" t="n">
        <v>274</v>
      </c>
      <c r="I290" s="6" t="inlineStr">
        <is>
          <t>***营销策划有限公司</t>
        </is>
      </c>
      <c r="J290" s="6" t="b">
        <v>1</v>
      </c>
      <c r="K290" s="6" t="inlineStr">
        <is>
          <t>其他</t>
        </is>
      </c>
      <c r="L290" s="6" t="n">
        <v>0.3</v>
      </c>
      <c r="M290" s="6" t="n">
        <v>1</v>
      </c>
      <c r="N290" s="6" t="n">
        <v>0.7123981652605675</v>
      </c>
      <c r="O290" s="6" t="inlineStr">
        <is>
          <t>D</t>
        </is>
      </c>
      <c r="P290" s="6" t="n">
        <v>0</v>
      </c>
      <c r="Q290" s="6" t="n">
        <v>0</v>
      </c>
      <c r="R290" s="6" t="n">
        <v>0</v>
      </c>
      <c r="S290" s="6" t="n">
        <v>0</v>
      </c>
      <c r="T290" s="6" t="inlineStr">
        <is>
          <t>预测D级</t>
        </is>
      </c>
      <c r="U290" s="6" t="n">
        <v>0</v>
      </c>
      <c r="V290" s="6" t="n">
        <v>0</v>
      </c>
      <c r="W290" s="6" t="n">
        <v>0</v>
      </c>
      <c r="X290" s="6" t="n">
        <v>0</v>
      </c>
      <c r="Y290" s="6" t="n">
        <v>0</v>
      </c>
      <c r="Z290" s="6" t="n">
        <v>0</v>
      </c>
      <c r="AA290" s="9">
        <f>P290*(1-R290)*((1-B290)*Q290-B290*'模型说明与假设'!$B$7-'模型说明与假设'!$B$8)</f>
        <v/>
      </c>
      <c r="AB290" s="6" t="b">
        <v>0</v>
      </c>
      <c r="AC290" s="6" t="n">
        <v>0.7123981652605675</v>
      </c>
      <c r="AD290" s="6" t="inlineStr">
        <is>
          <t>D</t>
        </is>
      </c>
      <c r="AE290" s="6" t="n">
        <v>0</v>
      </c>
      <c r="AF290" s="6" t="n">
        <v>0</v>
      </c>
      <c r="AG290" s="6" t="n">
        <v>0</v>
      </c>
      <c r="AH290" s="6" t="n">
        <v>0</v>
      </c>
    </row>
    <row r="291">
      <c r="A291" s="6" t="inlineStr">
        <is>
          <t>E414</t>
        </is>
      </c>
      <c r="B291" s="6" t="n">
        <v>0.7648528413327508</v>
      </c>
      <c r="C291" s="6" t="inlineStr">
        <is>
          <t>D</t>
        </is>
      </c>
      <c r="D291" s="6" t="n">
        <v>0.4997308355061649</v>
      </c>
      <c r="E291" s="6" t="n">
        <v>0.1754283364672636</v>
      </c>
      <c r="F291" s="6" t="n">
        <v>0.1752395617725957</v>
      </c>
      <c r="G291" s="6" t="n">
        <v>290</v>
      </c>
      <c r="H291" s="6" t="n">
        <v>283</v>
      </c>
      <c r="I291" s="6" t="inlineStr">
        <is>
          <t>***物流有限责任公司***分公司</t>
        </is>
      </c>
      <c r="J291" s="6" t="b">
        <v>1</v>
      </c>
      <c r="K291" s="6" t="inlineStr">
        <is>
          <t>中度负面</t>
        </is>
      </c>
      <c r="L291" s="6" t="n">
        <v>0.9</v>
      </c>
      <c r="M291" s="6" t="n">
        <v>1.15</v>
      </c>
      <c r="N291" s="6" t="n">
        <v>0.7387940433139173</v>
      </c>
      <c r="O291" s="6" t="inlineStr">
        <is>
          <t>D</t>
        </is>
      </c>
      <c r="P291" s="6" t="n">
        <v>0</v>
      </c>
      <c r="Q291" s="6" t="n">
        <v>0</v>
      </c>
      <c r="R291" s="6" t="n">
        <v>0</v>
      </c>
      <c r="S291" s="6" t="n">
        <v>0</v>
      </c>
      <c r="T291" s="6" t="inlineStr">
        <is>
          <t>预测D级</t>
        </is>
      </c>
      <c r="U291" s="6" t="n">
        <v>0</v>
      </c>
      <c r="V291" s="6" t="n">
        <v>0</v>
      </c>
      <c r="W291" s="6" t="n">
        <v>0</v>
      </c>
      <c r="X291" s="6" t="n">
        <v>0</v>
      </c>
      <c r="Y291" s="6" t="n">
        <v>0</v>
      </c>
      <c r="Z291" s="6" t="n">
        <v>0</v>
      </c>
      <c r="AA291" s="9">
        <f>P291*(1-R291)*((1-B291)*Q291-B291*'模型说明与假设'!$B$7-'模型说明与假设'!$B$8)</f>
        <v/>
      </c>
      <c r="AB291" s="6" t="b">
        <v>0</v>
      </c>
      <c r="AC291" s="6" t="n">
        <v>0.7387940433139173</v>
      </c>
      <c r="AD291" s="6" t="inlineStr">
        <is>
          <t>D</t>
        </is>
      </c>
      <c r="AE291" s="6" t="n">
        <v>0</v>
      </c>
      <c r="AF291" s="6" t="n">
        <v>0</v>
      </c>
      <c r="AG291" s="6" t="n">
        <v>0</v>
      </c>
      <c r="AH291" s="6" t="n">
        <v>0</v>
      </c>
    </row>
    <row r="292">
      <c r="A292" s="6" t="inlineStr">
        <is>
          <t>E413</t>
        </is>
      </c>
      <c r="B292" s="6" t="n">
        <v>0.7520976263697071</v>
      </c>
      <c r="C292" s="6" t="inlineStr">
        <is>
          <t>D</t>
        </is>
      </c>
      <c r="D292" s="6" t="n">
        <v>0.5441888883737563</v>
      </c>
      <c r="E292" s="6" t="n">
        <v>0.1588537778394916</v>
      </c>
      <c r="F292" s="6" t="n">
        <v>0.1896541320987564</v>
      </c>
      <c r="G292" s="6" t="n">
        <v>291</v>
      </c>
      <c r="H292" s="6" t="n">
        <v>264</v>
      </c>
      <c r="I292" s="6" t="inlineStr">
        <is>
          <t>***石材工艺品有限公司</t>
        </is>
      </c>
      <c r="J292" s="6" t="b">
        <v>1</v>
      </c>
      <c r="K292" s="6" t="inlineStr">
        <is>
          <t>其他</t>
        </is>
      </c>
      <c r="L292" s="6" t="n">
        <v>0.3</v>
      </c>
      <c r="M292" s="6" t="n">
        <v>1</v>
      </c>
      <c r="N292" s="6" t="n">
        <v>0.7520976263697072</v>
      </c>
      <c r="O292" s="6" t="inlineStr">
        <is>
          <t>D</t>
        </is>
      </c>
      <c r="P292" s="6" t="n">
        <v>0</v>
      </c>
      <c r="Q292" s="6" t="n">
        <v>0</v>
      </c>
      <c r="R292" s="6" t="n">
        <v>0</v>
      </c>
      <c r="S292" s="6" t="n">
        <v>0</v>
      </c>
      <c r="T292" s="6" t="inlineStr">
        <is>
          <t>预测D级</t>
        </is>
      </c>
      <c r="U292" s="6" t="n">
        <v>0</v>
      </c>
      <c r="V292" s="6" t="n">
        <v>0</v>
      </c>
      <c r="W292" s="6" t="n">
        <v>0</v>
      </c>
      <c r="X292" s="6" t="n">
        <v>0</v>
      </c>
      <c r="Y292" s="6" t="n">
        <v>0</v>
      </c>
      <c r="Z292" s="6" t="n">
        <v>0</v>
      </c>
      <c r="AA292" s="9">
        <f>P292*(1-R292)*((1-B292)*Q292-B292*'模型说明与假设'!$B$7-'模型说明与假设'!$B$8)</f>
        <v/>
      </c>
      <c r="AB292" s="6" t="b">
        <v>0</v>
      </c>
      <c r="AC292" s="6" t="n">
        <v>0.7520976263697072</v>
      </c>
      <c r="AD292" s="6" t="inlineStr">
        <is>
          <t>D</t>
        </is>
      </c>
      <c r="AE292" s="6" t="n">
        <v>0</v>
      </c>
      <c r="AF292" s="6" t="n">
        <v>0</v>
      </c>
      <c r="AG292" s="6" t="n">
        <v>0</v>
      </c>
      <c r="AH292" s="6" t="n">
        <v>0</v>
      </c>
    </row>
    <row r="293">
      <c r="A293" s="6" t="inlineStr">
        <is>
          <t>E417</t>
        </is>
      </c>
      <c r="B293" s="6" t="n">
        <v>0.7569666724661213</v>
      </c>
      <c r="C293" s="6" t="inlineStr">
        <is>
          <t>D</t>
        </is>
      </c>
      <c r="D293" s="6" t="n">
        <v>0.4934090438357706</v>
      </c>
      <c r="E293" s="6" t="n">
        <v>0.1741088093225212</v>
      </c>
      <c r="F293" s="6" t="n">
        <v>0.1695783552507004</v>
      </c>
      <c r="G293" s="6" t="n">
        <v>292</v>
      </c>
      <c r="H293" s="6" t="n">
        <v>286</v>
      </c>
      <c r="I293" s="6" t="inlineStr">
        <is>
          <t>***园林景观工程有限公司</t>
        </is>
      </c>
      <c r="J293" s="6" t="b">
        <v>1</v>
      </c>
      <c r="K293" s="6" t="inlineStr">
        <is>
          <t>其他</t>
        </is>
      </c>
      <c r="L293" s="6" t="n">
        <v>0.3</v>
      </c>
      <c r="M293" s="6" t="n">
        <v>1</v>
      </c>
      <c r="N293" s="6" t="n">
        <v>0.7569666724661214</v>
      </c>
      <c r="O293" s="6" t="inlineStr">
        <is>
          <t>D</t>
        </is>
      </c>
      <c r="P293" s="6" t="n">
        <v>0</v>
      </c>
      <c r="Q293" s="6" t="n">
        <v>0</v>
      </c>
      <c r="R293" s="6" t="n">
        <v>0</v>
      </c>
      <c r="S293" s="6" t="n">
        <v>0</v>
      </c>
      <c r="T293" s="6" t="inlineStr">
        <is>
          <t>预测D级</t>
        </is>
      </c>
      <c r="U293" s="6" t="n">
        <v>0</v>
      </c>
      <c r="V293" s="6" t="n">
        <v>0</v>
      </c>
      <c r="W293" s="6" t="n">
        <v>0</v>
      </c>
      <c r="X293" s="6" t="n">
        <v>0</v>
      </c>
      <c r="Y293" s="6" t="n">
        <v>0</v>
      </c>
      <c r="Z293" s="6" t="n">
        <v>0</v>
      </c>
      <c r="AA293" s="9">
        <f>P293*(1-R293)*((1-B293)*Q293-B293*'模型说明与假设'!$B$7-'模型说明与假设'!$B$8)</f>
        <v/>
      </c>
      <c r="AB293" s="6" t="b">
        <v>0</v>
      </c>
      <c r="AC293" s="6" t="n">
        <v>0.7569666724661214</v>
      </c>
      <c r="AD293" s="6" t="inlineStr">
        <is>
          <t>D</t>
        </is>
      </c>
      <c r="AE293" s="6" t="n">
        <v>0</v>
      </c>
      <c r="AF293" s="6" t="n">
        <v>0</v>
      </c>
      <c r="AG293" s="6" t="n">
        <v>0</v>
      </c>
      <c r="AH293" s="6" t="n">
        <v>0</v>
      </c>
    </row>
    <row r="294">
      <c r="A294" s="6" t="inlineStr">
        <is>
          <t>E401</t>
        </is>
      </c>
      <c r="B294" s="6" t="n">
        <v>0.7374776870830426</v>
      </c>
      <c r="C294" s="6" t="inlineStr">
        <is>
          <t>D</t>
        </is>
      </c>
      <c r="D294" s="6" t="n">
        <v>0.5426181685897916</v>
      </c>
      <c r="E294" s="6" t="n">
        <v>0.1504841093569433</v>
      </c>
      <c r="F294" s="6" t="n">
        <v>0.1785278867972717</v>
      </c>
      <c r="G294" s="6" t="n">
        <v>293</v>
      </c>
      <c r="H294" s="6" t="n">
        <v>265</v>
      </c>
      <c r="I294" s="6" t="inlineStr">
        <is>
          <t>***遮阳技术发展中心</t>
        </is>
      </c>
      <c r="J294" s="6" t="b">
        <v>1</v>
      </c>
      <c r="K294" s="6" t="inlineStr">
        <is>
          <t>正面/轻影响</t>
        </is>
      </c>
      <c r="L294" s="6" t="n">
        <v>0.9</v>
      </c>
      <c r="M294" s="6" t="n">
        <v>0.9</v>
      </c>
      <c r="N294" s="6" t="n">
        <v>0.7573600790493429</v>
      </c>
      <c r="O294" s="6" t="inlineStr">
        <is>
          <t>D</t>
        </is>
      </c>
      <c r="P294" s="6" t="n">
        <v>0</v>
      </c>
      <c r="Q294" s="6" t="n">
        <v>0</v>
      </c>
      <c r="R294" s="6" t="n">
        <v>0</v>
      </c>
      <c r="S294" s="6" t="n">
        <v>0</v>
      </c>
      <c r="T294" s="6" t="inlineStr">
        <is>
          <t>预测D级</t>
        </is>
      </c>
      <c r="U294" s="6" t="n">
        <v>0</v>
      </c>
      <c r="V294" s="6" t="n">
        <v>0</v>
      </c>
      <c r="W294" s="6" t="n">
        <v>0</v>
      </c>
      <c r="X294" s="6" t="n">
        <v>0</v>
      </c>
      <c r="Y294" s="6" t="n">
        <v>0</v>
      </c>
      <c r="Z294" s="6" t="n">
        <v>0</v>
      </c>
      <c r="AA294" s="9">
        <f>P294*(1-R294)*((1-B294)*Q294-B294*'模型说明与假设'!$B$7-'模型说明与假设'!$B$8)</f>
        <v/>
      </c>
      <c r="AB294" s="6" t="b">
        <v>0</v>
      </c>
      <c r="AC294" s="6" t="n">
        <v>0.7573600790493429</v>
      </c>
      <c r="AD294" s="6" t="inlineStr">
        <is>
          <t>D</t>
        </is>
      </c>
      <c r="AE294" s="6" t="n">
        <v>0</v>
      </c>
      <c r="AF294" s="6" t="n">
        <v>0</v>
      </c>
      <c r="AG294" s="6" t="n">
        <v>0</v>
      </c>
      <c r="AH294" s="6" t="n">
        <v>0</v>
      </c>
    </row>
    <row r="295">
      <c r="A295" s="6" t="inlineStr">
        <is>
          <t>E385</t>
        </is>
      </c>
      <c r="B295" s="6" t="n">
        <v>0.7840651729876744</v>
      </c>
      <c r="C295" s="6" t="inlineStr">
        <is>
          <t>D</t>
        </is>
      </c>
      <c r="D295" s="6" t="n">
        <v>0.5312449652854028</v>
      </c>
      <c r="E295" s="6" t="n">
        <v>0.1567076796116136</v>
      </c>
      <c r="F295" s="6" t="n">
        <v>0.1775984462031747</v>
      </c>
      <c r="G295" s="6" t="n">
        <v>294</v>
      </c>
      <c r="H295" s="6" t="n">
        <v>270</v>
      </c>
      <c r="I295" s="6" t="inlineStr">
        <is>
          <t>***装饰工程有限公司</t>
        </is>
      </c>
      <c r="J295" s="6" t="b">
        <v>1</v>
      </c>
      <c r="K295" s="6" t="inlineStr">
        <is>
          <t>中度负面</t>
        </is>
      </c>
      <c r="L295" s="6" t="n">
        <v>0.9</v>
      </c>
      <c r="M295" s="6" t="n">
        <v>1.15</v>
      </c>
      <c r="N295" s="6" t="n">
        <v>0.7594659022539301</v>
      </c>
      <c r="O295" s="6" t="inlineStr">
        <is>
          <t>D</t>
        </is>
      </c>
      <c r="P295" s="6" t="n">
        <v>0</v>
      </c>
      <c r="Q295" s="6" t="n">
        <v>0</v>
      </c>
      <c r="R295" s="6" t="n">
        <v>0</v>
      </c>
      <c r="S295" s="6" t="n">
        <v>0</v>
      </c>
      <c r="T295" s="6" t="inlineStr">
        <is>
          <t>预测D级</t>
        </is>
      </c>
      <c r="U295" s="6" t="n">
        <v>0</v>
      </c>
      <c r="V295" s="6" t="n">
        <v>0</v>
      </c>
      <c r="W295" s="6" t="n">
        <v>0</v>
      </c>
      <c r="X295" s="6" t="n">
        <v>0</v>
      </c>
      <c r="Y295" s="6" t="n">
        <v>0</v>
      </c>
      <c r="Z295" s="6" t="n">
        <v>0</v>
      </c>
      <c r="AA295" s="9">
        <f>P295*(1-R295)*((1-B295)*Q295-B295*'模型说明与假设'!$B$7-'模型说明与假设'!$B$8)</f>
        <v/>
      </c>
      <c r="AB295" s="6" t="b">
        <v>0</v>
      </c>
      <c r="AC295" s="6" t="n">
        <v>0.7594659022539301</v>
      </c>
      <c r="AD295" s="6" t="inlineStr">
        <is>
          <t>D</t>
        </is>
      </c>
      <c r="AE295" s="6" t="n">
        <v>0</v>
      </c>
      <c r="AF295" s="6" t="n">
        <v>0</v>
      </c>
      <c r="AG295" s="6" t="n">
        <v>0</v>
      </c>
      <c r="AH295" s="6" t="n">
        <v>0</v>
      </c>
    </row>
    <row r="296">
      <c r="A296" s="6" t="inlineStr">
        <is>
          <t>E368</t>
        </is>
      </c>
      <c r="B296" s="6" t="n">
        <v>0.7486894871765398</v>
      </c>
      <c r="C296" s="6" t="inlineStr">
        <is>
          <t>D</t>
        </is>
      </c>
      <c r="D296" s="6" t="n">
        <v>0.5138159130557373</v>
      </c>
      <c r="E296" s="6" t="n">
        <v>0.159306996649521</v>
      </c>
      <c r="F296" s="6" t="n">
        <v>0.1683610635101368</v>
      </c>
      <c r="G296" s="6" t="n">
        <v>295</v>
      </c>
      <c r="H296" s="6" t="n">
        <v>276</v>
      </c>
      <c r="I296" s="6" t="inlineStr">
        <is>
          <t>***通信科技有限责任公司</t>
        </is>
      </c>
      <c r="J296" s="6" t="b">
        <v>1</v>
      </c>
      <c r="K296" s="6" t="inlineStr">
        <is>
          <t>正面/轻影响</t>
        </is>
      </c>
      <c r="L296" s="6" t="n">
        <v>0.9</v>
      </c>
      <c r="M296" s="6" t="n">
        <v>0.9</v>
      </c>
      <c r="N296" s="6" t="n">
        <v>0.7679898802412043</v>
      </c>
      <c r="O296" s="6" t="inlineStr">
        <is>
          <t>D</t>
        </is>
      </c>
      <c r="P296" s="6" t="n">
        <v>0</v>
      </c>
      <c r="Q296" s="6" t="n">
        <v>0</v>
      </c>
      <c r="R296" s="6" t="n">
        <v>0</v>
      </c>
      <c r="S296" s="6" t="n">
        <v>0</v>
      </c>
      <c r="T296" s="6" t="inlineStr">
        <is>
          <t>预测D级</t>
        </is>
      </c>
      <c r="U296" s="6" t="n">
        <v>0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9">
        <f>P296*(1-R296)*((1-B296)*Q296-B296*'模型说明与假设'!$B$7-'模型说明与假设'!$B$8)</f>
        <v/>
      </c>
      <c r="AB296" s="6" t="b">
        <v>0</v>
      </c>
      <c r="AC296" s="6" t="n">
        <v>0.7679898802412043</v>
      </c>
      <c r="AD296" s="6" t="inlineStr">
        <is>
          <t>D</t>
        </is>
      </c>
      <c r="AE296" s="6" t="n">
        <v>0</v>
      </c>
      <c r="AF296" s="6" t="n">
        <v>0</v>
      </c>
      <c r="AG296" s="6" t="n">
        <v>0</v>
      </c>
      <c r="AH296" s="6" t="n">
        <v>0</v>
      </c>
    </row>
    <row r="297">
      <c r="A297" s="6" t="inlineStr">
        <is>
          <t>E421</t>
        </is>
      </c>
      <c r="B297" s="6" t="n">
        <v>0.7822067500013969</v>
      </c>
      <c r="C297" s="6" t="inlineStr">
        <is>
          <t>D</t>
        </is>
      </c>
      <c r="D297" s="6" t="n">
        <v>0.5039278714829714</v>
      </c>
      <c r="E297" s="6" t="n">
        <v>0.1758834845387952</v>
      </c>
      <c r="F297" s="6" t="n">
        <v>0.1786687558069506</v>
      </c>
      <c r="G297" s="6" t="n">
        <v>296</v>
      </c>
      <c r="H297" s="6" t="n">
        <v>281</v>
      </c>
      <c r="I297" s="6" t="inlineStr">
        <is>
          <t>***保温材料有限公司</t>
        </is>
      </c>
      <c r="J297" s="6" t="b">
        <v>1</v>
      </c>
      <c r="K297" s="6" t="inlineStr">
        <is>
          <t>其他</t>
        </is>
      </c>
      <c r="L297" s="6" t="n">
        <v>0.3</v>
      </c>
      <c r="M297" s="6" t="n">
        <v>1</v>
      </c>
      <c r="N297" s="6" t="n">
        <v>0.7822067500013968</v>
      </c>
      <c r="O297" s="6" t="inlineStr">
        <is>
          <t>D</t>
        </is>
      </c>
      <c r="P297" s="6" t="n">
        <v>0</v>
      </c>
      <c r="Q297" s="6" t="n">
        <v>0</v>
      </c>
      <c r="R297" s="6" t="n">
        <v>0</v>
      </c>
      <c r="S297" s="6" t="n">
        <v>0</v>
      </c>
      <c r="T297" s="6" t="inlineStr">
        <is>
          <t>预测D级</t>
        </is>
      </c>
      <c r="U297" s="6" t="n">
        <v>0</v>
      </c>
      <c r="V297" s="6" t="n">
        <v>0</v>
      </c>
      <c r="W297" s="6" t="n">
        <v>0</v>
      </c>
      <c r="X297" s="6" t="n">
        <v>0</v>
      </c>
      <c r="Y297" s="6" t="n">
        <v>0</v>
      </c>
      <c r="Z297" s="6" t="n">
        <v>0</v>
      </c>
      <c r="AA297" s="9">
        <f>P297*(1-R297)*((1-B297)*Q297-B297*'模型说明与假设'!$B$7-'模型说明与假设'!$B$8)</f>
        <v/>
      </c>
      <c r="AB297" s="6" t="b">
        <v>0</v>
      </c>
      <c r="AC297" s="6" t="n">
        <v>0.7822067500013968</v>
      </c>
      <c r="AD297" s="6" t="inlineStr">
        <is>
          <t>D</t>
        </is>
      </c>
      <c r="AE297" s="6" t="n">
        <v>0</v>
      </c>
      <c r="AF297" s="6" t="n">
        <v>0</v>
      </c>
      <c r="AG297" s="6" t="n">
        <v>0</v>
      </c>
      <c r="AH297" s="6" t="n">
        <v>0</v>
      </c>
    </row>
    <row r="298">
      <c r="A298" s="6" t="inlineStr">
        <is>
          <t>E423</t>
        </is>
      </c>
      <c r="B298" s="6" t="n">
        <v>0.7988930648673301</v>
      </c>
      <c r="C298" s="6" t="inlineStr">
        <is>
          <t>D</t>
        </is>
      </c>
      <c r="D298" s="6" t="n">
        <v>0.4527074491697276</v>
      </c>
      <c r="E298" s="6" t="n">
        <v>0.18338946307791</v>
      </c>
      <c r="F298" s="6" t="n">
        <v>0.1516954248850237</v>
      </c>
      <c r="G298" s="6" t="n">
        <v>297</v>
      </c>
      <c r="H298" s="6" t="n">
        <v>293</v>
      </c>
      <c r="I298" s="6" t="inlineStr">
        <is>
          <t>***通风设备有限公司</t>
        </is>
      </c>
      <c r="J298" s="6" t="b">
        <v>1</v>
      </c>
      <c r="K298" s="6" t="inlineStr">
        <is>
          <t>其他</t>
        </is>
      </c>
      <c r="L298" s="6" t="n">
        <v>0.3</v>
      </c>
      <c r="M298" s="6" t="n">
        <v>1</v>
      </c>
      <c r="N298" s="6" t="n">
        <v>0.7988930648673302</v>
      </c>
      <c r="O298" s="6" t="inlineStr">
        <is>
          <t>D</t>
        </is>
      </c>
      <c r="P298" s="6" t="n">
        <v>0</v>
      </c>
      <c r="Q298" s="6" t="n">
        <v>0</v>
      </c>
      <c r="R298" s="6" t="n">
        <v>0</v>
      </c>
      <c r="S298" s="6" t="n">
        <v>0</v>
      </c>
      <c r="T298" s="6" t="inlineStr">
        <is>
          <t>预测D级</t>
        </is>
      </c>
      <c r="U298" s="6" t="n">
        <v>0</v>
      </c>
      <c r="V298" s="6" t="n">
        <v>0</v>
      </c>
      <c r="W298" s="6" t="n">
        <v>0</v>
      </c>
      <c r="X298" s="6" t="n">
        <v>0</v>
      </c>
      <c r="Y298" s="6" t="n">
        <v>0</v>
      </c>
      <c r="Z298" s="6" t="n">
        <v>0</v>
      </c>
      <c r="AA298" s="9">
        <f>P298*(1-R298)*((1-B298)*Q298-B298*'模型说明与假设'!$B$7-'模型说明与假设'!$B$8)</f>
        <v/>
      </c>
      <c r="AB298" s="6" t="b">
        <v>0</v>
      </c>
      <c r="AC298" s="6" t="n">
        <v>0.7988930648673302</v>
      </c>
      <c r="AD298" s="6" t="inlineStr">
        <is>
          <t>D</t>
        </is>
      </c>
      <c r="AE298" s="6" t="n">
        <v>0</v>
      </c>
      <c r="AF298" s="6" t="n">
        <v>0</v>
      </c>
      <c r="AG298" s="6" t="n">
        <v>0</v>
      </c>
      <c r="AH298" s="6" t="n">
        <v>0</v>
      </c>
    </row>
    <row r="299">
      <c r="A299" s="6" t="inlineStr">
        <is>
          <t>E217</t>
        </is>
      </c>
      <c r="B299" s="6" t="n">
        <v>0.8167097399687954</v>
      </c>
      <c r="C299" s="6" t="inlineStr">
        <is>
          <t>D</t>
        </is>
      </c>
      <c r="D299" s="6" t="n">
        <v>0.4185798971886918</v>
      </c>
      <c r="E299" s="6" t="n">
        <v>0.2087125664699938</v>
      </c>
      <c r="F299" s="6" t="n">
        <v>0.150257764037702</v>
      </c>
      <c r="G299" s="6" t="n">
        <v>298</v>
      </c>
      <c r="H299" s="6" t="n">
        <v>301</v>
      </c>
      <c r="I299" s="6" t="inlineStr">
        <is>
          <t xml:space="preserve">个体经营E217 </t>
        </is>
      </c>
      <c r="J299" s="6" t="b">
        <v>1</v>
      </c>
      <c r="K299" s="6" t="inlineStr">
        <is>
          <t>未知</t>
        </is>
      </c>
      <c r="L299" s="6" t="n">
        <v>0</v>
      </c>
      <c r="M299" s="6" t="n">
        <v>1</v>
      </c>
      <c r="N299" s="6" t="n">
        <v>0.8167097399687954</v>
      </c>
      <c r="O299" s="6" t="inlineStr">
        <is>
          <t>D</t>
        </is>
      </c>
      <c r="P299" s="6" t="n">
        <v>0</v>
      </c>
      <c r="Q299" s="6" t="n">
        <v>0</v>
      </c>
      <c r="R299" s="6" t="n">
        <v>0</v>
      </c>
      <c r="S299" s="6" t="n">
        <v>0</v>
      </c>
      <c r="T299" s="6" t="inlineStr">
        <is>
          <t>预测D级</t>
        </is>
      </c>
      <c r="U299" s="6" t="n">
        <v>0</v>
      </c>
      <c r="V299" s="6" t="n">
        <v>0</v>
      </c>
      <c r="W299" s="6" t="n">
        <v>0</v>
      </c>
      <c r="X299" s="6" t="n">
        <v>0</v>
      </c>
      <c r="Y299" s="6" t="n">
        <v>0</v>
      </c>
      <c r="Z299" s="6" t="n">
        <v>0</v>
      </c>
      <c r="AA299" s="9">
        <f>P299*(1-R299)*((1-B299)*Q299-B299*'模型说明与假设'!$B$7-'模型说明与假设'!$B$8)</f>
        <v/>
      </c>
      <c r="AB299" s="6" t="b">
        <v>0</v>
      </c>
      <c r="AC299" s="6" t="n">
        <v>0.8167097399687954</v>
      </c>
      <c r="AD299" s="6" t="inlineStr">
        <is>
          <t>D</t>
        </is>
      </c>
      <c r="AE299" s="6" t="n">
        <v>0</v>
      </c>
      <c r="AF299" s="6" t="n">
        <v>0</v>
      </c>
      <c r="AG299" s="6" t="n">
        <v>0</v>
      </c>
      <c r="AH299" s="6" t="n">
        <v>0</v>
      </c>
    </row>
    <row r="300">
      <c r="A300" s="6" t="inlineStr">
        <is>
          <t>E419</t>
        </is>
      </c>
      <c r="B300" s="6" t="n">
        <v>0.8561674176362756</v>
      </c>
      <c r="C300" s="6" t="inlineStr">
        <is>
          <t>D</t>
        </is>
      </c>
      <c r="D300" s="6" t="n">
        <v>0.4230865154160932</v>
      </c>
      <c r="E300" s="6" t="n">
        <v>0.2137383792248408</v>
      </c>
      <c r="F300" s="6" t="n">
        <v>0.156747638065945</v>
      </c>
      <c r="G300" s="6" t="n">
        <v>299</v>
      </c>
      <c r="H300" s="6" t="n">
        <v>300</v>
      </c>
      <c r="I300" s="6" t="inlineStr">
        <is>
          <t>***科技有限公司</t>
        </is>
      </c>
      <c r="J300" s="6" t="b">
        <v>1</v>
      </c>
      <c r="K300" s="6" t="inlineStr">
        <is>
          <t>正面/轻影响</t>
        </is>
      </c>
      <c r="L300" s="6" t="n">
        <v>0.9</v>
      </c>
      <c r="M300" s="6" t="n">
        <v>0.9</v>
      </c>
      <c r="N300" s="6" t="n">
        <v>0.8686616017746208</v>
      </c>
      <c r="O300" s="6" t="inlineStr">
        <is>
          <t>D</t>
        </is>
      </c>
      <c r="P300" s="6" t="n">
        <v>0</v>
      </c>
      <c r="Q300" s="6" t="n">
        <v>0</v>
      </c>
      <c r="R300" s="6" t="n">
        <v>0</v>
      </c>
      <c r="S300" s="6" t="n">
        <v>0</v>
      </c>
      <c r="T300" s="6" t="inlineStr">
        <is>
          <t>预测D级</t>
        </is>
      </c>
      <c r="U300" s="6" t="n">
        <v>0</v>
      </c>
      <c r="V300" s="6" t="n">
        <v>0</v>
      </c>
      <c r="W300" s="6" t="n">
        <v>0</v>
      </c>
      <c r="X300" s="6" t="n">
        <v>0</v>
      </c>
      <c r="Y300" s="6" t="n">
        <v>0</v>
      </c>
      <c r="Z300" s="6" t="n">
        <v>0</v>
      </c>
      <c r="AA300" s="9">
        <f>P300*(1-R300)*((1-B300)*Q300-B300*'模型说明与假设'!$B$7-'模型说明与假设'!$B$8)</f>
        <v/>
      </c>
      <c r="AB300" s="6" t="b">
        <v>0</v>
      </c>
      <c r="AC300" s="6" t="n">
        <v>0.8686616017746208</v>
      </c>
      <c r="AD300" s="6" t="inlineStr">
        <is>
          <t>D</t>
        </is>
      </c>
      <c r="AE300" s="6" t="n">
        <v>0</v>
      </c>
      <c r="AF300" s="6" t="n">
        <v>0</v>
      </c>
      <c r="AG300" s="6" t="n">
        <v>0</v>
      </c>
      <c r="AH300" s="6" t="n">
        <v>0</v>
      </c>
    </row>
    <row r="301">
      <c r="A301" s="6" t="inlineStr">
        <is>
          <t>E425</t>
        </is>
      </c>
      <c r="B301" s="6" t="n">
        <v>0.8915952836968654</v>
      </c>
      <c r="C301" s="6" t="inlineStr">
        <is>
          <t>D</t>
        </is>
      </c>
      <c r="D301" s="6" t="n">
        <v>0.4912986974154632</v>
      </c>
      <c r="E301" s="6" t="n">
        <v>0.1775109274804835</v>
      </c>
      <c r="F301" s="6" t="n">
        <v>0.1714383018189333</v>
      </c>
      <c r="G301" s="6" t="n">
        <v>300</v>
      </c>
      <c r="H301" s="6" t="n">
        <v>287</v>
      </c>
      <c r="I301" s="6" t="inlineStr">
        <is>
          <t>***商贸有限公司</t>
        </is>
      </c>
      <c r="J301" s="6" t="b">
        <v>1</v>
      </c>
      <c r="K301" s="6" t="inlineStr">
        <is>
          <t>中度负面</t>
        </is>
      </c>
      <c r="L301" s="6" t="n">
        <v>0.9</v>
      </c>
      <c r="M301" s="6" t="n">
        <v>1.15</v>
      </c>
      <c r="N301" s="6" t="n">
        <v>0.8773292887983726</v>
      </c>
      <c r="O301" s="6" t="inlineStr">
        <is>
          <t>D</t>
        </is>
      </c>
      <c r="P301" s="6" t="n">
        <v>0</v>
      </c>
      <c r="Q301" s="6" t="n">
        <v>0</v>
      </c>
      <c r="R301" s="6" t="n">
        <v>0</v>
      </c>
      <c r="S301" s="6" t="n">
        <v>0</v>
      </c>
      <c r="T301" s="6" t="inlineStr">
        <is>
          <t>预测D级</t>
        </is>
      </c>
      <c r="U301" s="6" t="n">
        <v>0</v>
      </c>
      <c r="V301" s="6" t="n">
        <v>0</v>
      </c>
      <c r="W301" s="6" t="n">
        <v>0</v>
      </c>
      <c r="X301" s="6" t="n">
        <v>0</v>
      </c>
      <c r="Y301" s="6" t="n">
        <v>0</v>
      </c>
      <c r="Z301" s="6" t="n">
        <v>0</v>
      </c>
      <c r="AA301" s="9">
        <f>P301*(1-R301)*((1-B301)*Q301-B301*'模型说明与假设'!$B$7-'模型说明与假设'!$B$8)</f>
        <v/>
      </c>
      <c r="AB301" s="6" t="b">
        <v>0</v>
      </c>
      <c r="AC301" s="6" t="n">
        <v>0.8773292887983726</v>
      </c>
      <c r="AD301" s="6" t="inlineStr">
        <is>
          <t>D</t>
        </is>
      </c>
      <c r="AE301" s="6" t="n">
        <v>0</v>
      </c>
      <c r="AF301" s="6" t="n">
        <v>0</v>
      </c>
      <c r="AG301" s="6" t="n">
        <v>0</v>
      </c>
      <c r="AH301" s="6" t="n">
        <v>0</v>
      </c>
    </row>
    <row r="302">
      <c r="A302" s="6" t="inlineStr">
        <is>
          <t>E404</t>
        </is>
      </c>
      <c r="B302" s="6" t="n">
        <v>0.8836148435489724</v>
      </c>
      <c r="C302" s="6" t="inlineStr">
        <is>
          <t>D</t>
        </is>
      </c>
      <c r="D302" s="6" t="n">
        <v>0.4403590320505812</v>
      </c>
      <c r="E302" s="6" t="n">
        <v>0.1874825973876984</v>
      </c>
      <c r="F302" s="6" t="n">
        <v>0.1475225364834934</v>
      </c>
      <c r="G302" s="6" t="n">
        <v>301</v>
      </c>
      <c r="H302" s="6" t="n">
        <v>295</v>
      </c>
      <c r="I302" s="6" t="inlineStr">
        <is>
          <t xml:space="preserve">个体经营E404 </t>
        </is>
      </c>
      <c r="J302" s="6" t="b">
        <v>1</v>
      </c>
      <c r="K302" s="6" t="inlineStr">
        <is>
          <t>未知</t>
        </is>
      </c>
      <c r="L302" s="6" t="n">
        <v>0</v>
      </c>
      <c r="M302" s="6" t="n">
        <v>1</v>
      </c>
      <c r="N302" s="6" t="n">
        <v>0.8836148435489724</v>
      </c>
      <c r="O302" s="6" t="inlineStr">
        <is>
          <t>D</t>
        </is>
      </c>
      <c r="P302" s="6" t="n">
        <v>0</v>
      </c>
      <c r="Q302" s="6" t="n">
        <v>0</v>
      </c>
      <c r="R302" s="6" t="n">
        <v>0</v>
      </c>
      <c r="S302" s="6" t="n">
        <v>0</v>
      </c>
      <c r="T302" s="6" t="inlineStr">
        <is>
          <t>预测D级</t>
        </is>
      </c>
      <c r="U302" s="6" t="n">
        <v>0</v>
      </c>
      <c r="V302" s="6" t="n">
        <v>0</v>
      </c>
      <c r="W302" s="6" t="n">
        <v>0</v>
      </c>
      <c r="X302" s="6" t="n">
        <v>0</v>
      </c>
      <c r="Y302" s="6" t="n">
        <v>0</v>
      </c>
      <c r="Z302" s="6" t="n">
        <v>0</v>
      </c>
      <c r="AA302" s="9">
        <f>P302*(1-R302)*((1-B302)*Q302-B302*'模型说明与假设'!$B$7-'模型说明与假设'!$B$8)</f>
        <v/>
      </c>
      <c r="AB302" s="6" t="b">
        <v>0</v>
      </c>
      <c r="AC302" s="6" t="n">
        <v>0.8836148435489724</v>
      </c>
      <c r="AD302" s="6" t="inlineStr">
        <is>
          <t>D</t>
        </is>
      </c>
      <c r="AE302" s="6" t="n">
        <v>0</v>
      </c>
      <c r="AF302" s="6" t="n">
        <v>0</v>
      </c>
      <c r="AG302" s="6" t="n">
        <v>0</v>
      </c>
      <c r="AH302" s="6" t="n">
        <v>0</v>
      </c>
    </row>
    <row r="303">
      <c r="A303" s="6" t="inlineStr">
        <is>
          <t>E424</t>
        </is>
      </c>
      <c r="B303" s="6" t="n">
        <v>0.9285007290932114</v>
      </c>
      <c r="C303" s="6" t="inlineStr">
        <is>
          <t>D</t>
        </is>
      </c>
      <c r="D303" s="6" t="n">
        <v>0.3506762296344159</v>
      </c>
      <c r="E303" s="6" t="n">
        <v>0.2238967649487267</v>
      </c>
      <c r="F303" s="6" t="n">
        <v>0.1209185262313077</v>
      </c>
      <c r="G303" s="6" t="n">
        <v>302</v>
      </c>
      <c r="H303" s="6" t="n">
        <v>302</v>
      </c>
      <c r="I303" s="6" t="inlineStr">
        <is>
          <t>***贸易有限公司</t>
        </is>
      </c>
      <c r="J303" s="6" t="b">
        <v>1</v>
      </c>
      <c r="K303" s="6" t="inlineStr">
        <is>
          <t>其他</t>
        </is>
      </c>
      <c r="L303" s="6" t="n">
        <v>0.3</v>
      </c>
      <c r="M303" s="6" t="n">
        <v>1</v>
      </c>
      <c r="N303" s="6" t="n">
        <v>0.9285007290932114</v>
      </c>
      <c r="O303" s="6" t="inlineStr">
        <is>
          <t>D</t>
        </is>
      </c>
      <c r="P303" s="6" t="n">
        <v>0</v>
      </c>
      <c r="Q303" s="6" t="n">
        <v>0</v>
      </c>
      <c r="R303" s="6" t="n">
        <v>0</v>
      </c>
      <c r="S303" s="6" t="n">
        <v>0</v>
      </c>
      <c r="T303" s="6" t="inlineStr">
        <is>
          <t>预测D级</t>
        </is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9">
        <f>P303*(1-R303)*((1-B303)*Q303-B303*'模型说明与假设'!$B$7-'模型说明与假设'!$B$8)</f>
        <v/>
      </c>
      <c r="AB303" s="6" t="b">
        <v>0</v>
      </c>
      <c r="AC303" s="6" t="n">
        <v>0.9285007290932114</v>
      </c>
      <c r="AD303" s="6" t="inlineStr">
        <is>
          <t>D</t>
        </is>
      </c>
      <c r="AE303" s="6" t="n">
        <v>0</v>
      </c>
      <c r="AF303" s="6" t="n">
        <v>0</v>
      </c>
      <c r="AG303" s="6" t="n">
        <v>0</v>
      </c>
      <c r="AH303" s="6" t="n">
        <v>0</v>
      </c>
    </row>
  </sheetData>
  <autoFilter ref="A1:AH3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.5" customWidth="1" min="2" max="2"/>
    <col width="10" customWidth="1" min="3" max="3"/>
    <col width="25.75" customWidth="1" min="4" max="4"/>
    <col width="25.75" customWidth="1" min="5" max="5"/>
  </cols>
  <sheetData>
    <row r="1">
      <c r="A1" s="5" t="inlineStr">
        <is>
          <t>指标</t>
        </is>
      </c>
      <c r="B1" s="5" t="inlineStr">
        <is>
          <t>数值</t>
        </is>
      </c>
      <c r="C1" s="5" t="n"/>
      <c r="D1" s="5" t="n"/>
      <c r="E1" s="5" t="n"/>
    </row>
    <row r="2">
      <c r="A2" s="6" t="inlineStr">
        <is>
          <t>ROC-AUC</t>
        </is>
      </c>
      <c r="B2" s="6" t="n">
        <v>0.8557098765432098</v>
      </c>
      <c r="C2" s="6" t="n"/>
      <c r="D2" s="6" t="n"/>
      <c r="E2" s="6" t="n"/>
    </row>
    <row r="3">
      <c r="A3" s="6" t="inlineStr">
        <is>
          <t>PR-AUC</t>
        </is>
      </c>
      <c r="B3" s="6" t="n">
        <v>0.7338615243249608</v>
      </c>
      <c r="C3" s="6" t="n"/>
      <c r="D3" s="6" t="n"/>
      <c r="E3" s="6" t="n"/>
    </row>
    <row r="4">
      <c r="A4" s="6" t="inlineStr">
        <is>
          <t>Brier分数</t>
        </is>
      </c>
      <c r="B4" s="6" t="n">
        <v>0.106558292763554</v>
      </c>
      <c r="C4" s="6" t="n"/>
      <c r="D4" s="6" t="n"/>
      <c r="E4" s="6" t="n"/>
    </row>
    <row r="5">
      <c r="A5" s="6" t="inlineStr">
        <is>
          <t>Log Loss</t>
        </is>
      </c>
      <c r="B5" s="6" t="n">
        <v>0.3570706177154355</v>
      </c>
      <c r="C5" s="6" t="n"/>
      <c r="D5" s="6" t="n"/>
      <c r="E5" s="6" t="n"/>
    </row>
    <row r="6">
      <c r="A6" s="6" t="inlineStr">
        <is>
          <t>样本违约率</t>
        </is>
      </c>
      <c r="B6" s="6" t="n">
        <v>0.2195121951219512</v>
      </c>
      <c r="C6" s="6" t="n"/>
      <c r="D6" s="6" t="n"/>
      <c r="E6" s="6" t="n"/>
    </row>
    <row r="7">
      <c r="A7" s="6" t="n"/>
      <c r="B7" s="6" t="n"/>
      <c r="C7" s="6" t="n"/>
      <c r="D7" s="6" t="n"/>
      <c r="E7" s="6" t="n"/>
    </row>
    <row r="8">
      <c r="A8" s="6" t="n"/>
      <c r="B8" s="6" t="n"/>
      <c r="C8" s="6" t="n"/>
      <c r="D8" s="6" t="n"/>
      <c r="E8" s="6" t="n"/>
    </row>
    <row r="9">
      <c r="A9" s="6" t="inlineStr">
        <is>
          <t>风险等级</t>
        </is>
      </c>
      <c r="B9" s="6" t="inlineStr">
        <is>
          <t>企业数</t>
        </is>
      </c>
      <c r="C9" s="6" t="inlineStr">
        <is>
          <t>违约数</t>
        </is>
      </c>
      <c r="D9" s="6" t="inlineStr">
        <is>
          <t>实际违约率</t>
        </is>
      </c>
      <c r="E9" s="6" t="inlineStr">
        <is>
          <t>平均预测PD</t>
        </is>
      </c>
    </row>
    <row r="10">
      <c r="A10" s="6" t="inlineStr">
        <is>
          <t>A</t>
        </is>
      </c>
      <c r="B10" s="6" t="n">
        <v>56</v>
      </c>
      <c r="C10" s="6" t="n">
        <v>3</v>
      </c>
      <c r="D10" s="6" t="n">
        <v>0.05357142857142857</v>
      </c>
      <c r="E10" s="6" t="n">
        <v>0.05588019199871901</v>
      </c>
    </row>
    <row r="11">
      <c r="A11" s="6" t="inlineStr">
        <is>
          <t>B</t>
        </is>
      </c>
      <c r="B11" s="6" t="n">
        <v>32</v>
      </c>
      <c r="C11" s="6" t="n">
        <v>4</v>
      </c>
      <c r="D11" s="6" t="n">
        <v>0.125</v>
      </c>
      <c r="E11" s="6" t="n">
        <v>0.135820895356613</v>
      </c>
    </row>
    <row r="12">
      <c r="A12" s="6" t="inlineStr">
        <is>
          <t>C</t>
        </is>
      </c>
      <c r="B12" s="6" t="n">
        <v>15</v>
      </c>
      <c r="C12" s="6" t="n">
        <v>4</v>
      </c>
      <c r="D12" s="6" t="n">
        <v>0.2666666666666667</v>
      </c>
      <c r="E12" s="6" t="n">
        <v>0.2883086287319914</v>
      </c>
    </row>
    <row r="13">
      <c r="A13" s="6" t="inlineStr">
        <is>
          <t>D</t>
        </is>
      </c>
      <c r="B13" s="6" t="n">
        <v>20</v>
      </c>
      <c r="C13" s="6" t="n">
        <v>16</v>
      </c>
      <c r="D13" s="6" t="n">
        <v>0.8</v>
      </c>
      <c r="E13" s="6" t="n">
        <v>0.6112025390077414</v>
      </c>
    </row>
  </sheetData>
  <autoFilter ref="A1:E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75" customWidth="1" min="1" max="1"/>
    <col width="27" customWidth="1" min="2" max="2"/>
    <col width="24.5" customWidth="1" min="3" max="3"/>
    <col width="10" customWidth="1" min="4" max="4"/>
  </cols>
  <sheetData>
    <row r="1">
      <c r="A1" s="5" t="inlineStr">
        <is>
          <t>特征</t>
        </is>
      </c>
      <c r="B1" s="5" t="inlineStr">
        <is>
          <t>标准化系数</t>
        </is>
      </c>
      <c r="C1" s="5" t="inlineStr">
        <is>
          <t>优势比</t>
        </is>
      </c>
      <c r="D1" s="5" t="inlineStr">
        <is>
          <t>风险方向</t>
        </is>
      </c>
    </row>
    <row r="2">
      <c r="A2" s="6" t="inlineStr">
        <is>
          <t>年化销项净额</t>
        </is>
      </c>
      <c r="B2" s="6" t="n">
        <v>-0.6744511143004472</v>
      </c>
      <c r="C2" s="6" t="n">
        <v>0.5094359659978713</v>
      </c>
      <c r="D2" s="6" t="inlineStr">
        <is>
          <t>降低违约风险</t>
        </is>
      </c>
    </row>
    <row r="3">
      <c r="A3" s="6" t="inlineStr">
        <is>
          <t>收入波动率</t>
        </is>
      </c>
      <c r="B3" s="6" t="n">
        <v>0.4777783574561588</v>
      </c>
      <c r="C3" s="6" t="n">
        <v>1.61248804782079</v>
      </c>
      <c r="D3" s="6" t="inlineStr">
        <is>
          <t>提高违约风险</t>
        </is>
      </c>
    </row>
    <row r="4">
      <c r="A4" s="6" t="inlineStr">
        <is>
          <t>年化客户数</t>
        </is>
      </c>
      <c r="B4" s="6" t="n">
        <v>-0.3003001762160326</v>
      </c>
      <c r="C4" s="6" t="n">
        <v>0.740595878044121</v>
      </c>
      <c r="D4" s="6" t="inlineStr">
        <is>
          <t>降低违约风险</t>
        </is>
      </c>
    </row>
    <row r="5">
      <c r="A5" s="6" t="inlineStr">
        <is>
          <t>利润率</t>
        </is>
      </c>
      <c r="B5" s="6" t="n">
        <v>-0.283016420383549</v>
      </c>
      <c r="C5" s="6" t="n">
        <v>0.7535074148773736</v>
      </c>
      <c r="D5" s="6" t="inlineStr">
        <is>
          <t>降低违约风险</t>
        </is>
      </c>
    </row>
    <row r="6">
      <c r="A6" s="6" t="inlineStr">
        <is>
          <t>销项作废率</t>
        </is>
      </c>
      <c r="B6" s="6" t="n">
        <v>0.2265802530006744</v>
      </c>
      <c r="C6" s="6" t="n">
        <v>1.254303267395778</v>
      </c>
      <c r="D6" s="6" t="inlineStr">
        <is>
          <t>提高违约风险</t>
        </is>
      </c>
    </row>
    <row r="7">
      <c r="A7" s="6" t="inlineStr">
        <is>
          <t>活跃月份比例</t>
        </is>
      </c>
      <c r="B7" s="6" t="n">
        <v>-0.1591032866032803</v>
      </c>
      <c r="C7" s="6" t="n">
        <v>0.8529082604223813</v>
      </c>
      <c r="D7" s="6" t="inlineStr">
        <is>
          <t>降低违约风险</t>
        </is>
      </c>
    </row>
    <row r="8">
      <c r="A8" s="6" t="inlineStr">
        <is>
          <t>成本波动率</t>
        </is>
      </c>
      <c r="B8" s="6" t="n">
        <v>-0.1572036428423124</v>
      </c>
      <c r="C8" s="6" t="n">
        <v>0.8545300221750712</v>
      </c>
      <c r="D8" s="6" t="inlineStr">
        <is>
          <t>降低违约风险</t>
        </is>
      </c>
    </row>
    <row r="9">
      <c r="A9" s="6" t="inlineStr">
        <is>
          <t>进项负数发票率</t>
        </is>
      </c>
      <c r="B9" s="6" t="n">
        <v>-0.09811913751954297</v>
      </c>
      <c r="C9" s="6" t="n">
        <v>0.906540894286549</v>
      </c>
      <c r="D9" s="6" t="inlineStr">
        <is>
          <t>降低违约风险</t>
        </is>
      </c>
    </row>
    <row r="10">
      <c r="A10" s="6" t="inlineStr">
        <is>
          <t>年化供应商数</t>
        </is>
      </c>
      <c r="B10" s="6" t="n">
        <v>-0.0724023756477888</v>
      </c>
      <c r="C10" s="6" t="n">
        <v>0.9301565481584566</v>
      </c>
      <c r="D10" s="6" t="inlineStr">
        <is>
          <t>降低违约风险</t>
        </is>
      </c>
    </row>
    <row r="11">
      <c r="A11" s="6" t="inlineStr">
        <is>
          <t>收入趋势率</t>
        </is>
      </c>
      <c r="B11" s="6" t="n">
        <v>-0.06032712957090555</v>
      </c>
      <c r="C11" s="6" t="n">
        <v>0.9414565049418689</v>
      </c>
      <c r="D11" s="6" t="inlineStr">
        <is>
          <t>降低违约风险</t>
        </is>
      </c>
    </row>
    <row r="12">
      <c r="A12" s="6" t="inlineStr">
        <is>
          <t>进项作废率</t>
        </is>
      </c>
      <c r="B12" s="6" t="n">
        <v>0.03018624476483302</v>
      </c>
      <c r="C12" s="6" t="n">
        <v>1.03064646858872</v>
      </c>
      <c r="D12" s="6" t="inlineStr">
        <is>
          <t>提高违约风险</t>
        </is>
      </c>
    </row>
    <row r="13">
      <c r="A13" s="6" t="inlineStr">
        <is>
          <t>销项负数发票率</t>
        </is>
      </c>
      <c r="B13" s="6" t="n">
        <v>0.02846852315610813</v>
      </c>
      <c r="C13" s="6" t="n">
        <v>1.028877624504446</v>
      </c>
      <c r="D13" s="6" t="inlineStr">
        <is>
          <t>提高违约风险</t>
        </is>
      </c>
    </row>
    <row r="14">
      <c r="A14" s="6" t="inlineStr">
        <is>
          <t>进项负数金额率</t>
        </is>
      </c>
      <c r="B14" s="6" t="n">
        <v>0.02312954119830092</v>
      </c>
      <c r="C14" s="6" t="n">
        <v>1.02339910330698</v>
      </c>
      <c r="D14" s="6" t="inlineStr">
        <is>
          <t>提高违约风险</t>
        </is>
      </c>
    </row>
    <row r="15">
      <c r="A15" s="6" t="inlineStr">
        <is>
          <t>年化利润</t>
        </is>
      </c>
      <c r="B15" s="6" t="n">
        <v>-0.01256496045333921</v>
      </c>
      <c r="C15" s="6" t="n">
        <v>0.9875136490759288</v>
      </c>
      <c r="D15" s="6" t="inlineStr">
        <is>
          <t>降低违约风险</t>
        </is>
      </c>
    </row>
    <row r="16">
      <c r="A16" s="6" t="inlineStr">
        <is>
          <t>销项负数金额率</t>
        </is>
      </c>
      <c r="B16" s="6" t="n">
        <v>-0.01026947202005312</v>
      </c>
      <c r="C16" s="6" t="n">
        <v>0.9897830789636041</v>
      </c>
      <c r="D16" s="6" t="inlineStr">
        <is>
          <t>降低违约风险</t>
        </is>
      </c>
    </row>
    <row r="17">
      <c r="A17" s="6" t="inlineStr">
        <is>
          <t>最近断档月数</t>
        </is>
      </c>
      <c r="B17" s="6" t="n">
        <v>0</v>
      </c>
      <c r="C17" s="6" t="n">
        <v>1</v>
      </c>
      <c r="D17" s="6" t="inlineStr">
        <is>
          <t>降低违约风险</t>
        </is>
      </c>
    </row>
  </sheetData>
  <autoFilter ref="A1:D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.5" customWidth="1" min="2" max="2"/>
    <col width="24.5" customWidth="1" min="3" max="3"/>
    <col width="27" customWidth="1" min="4" max="4"/>
  </cols>
  <sheetData>
    <row r="1">
      <c r="A1" s="5" t="inlineStr">
        <is>
          <t>试验编号</t>
        </is>
      </c>
      <c r="B1" s="5" t="inlineStr">
        <is>
          <t>Spearman相关系数</t>
        </is>
      </c>
      <c r="C1" s="5" t="inlineStr">
        <is>
          <t>Kendall相关系数</t>
        </is>
      </c>
      <c r="D1" s="5" t="inlineStr">
        <is>
          <t>最大权重变化</t>
        </is>
      </c>
    </row>
    <row r="2">
      <c r="A2" s="6" t="n">
        <v>1</v>
      </c>
      <c r="B2" s="6" t="n">
        <v>0.9992325650385009</v>
      </c>
      <c r="C2" s="6" t="n">
        <v>0.984272957483673</v>
      </c>
      <c r="D2" s="6" t="n">
        <v>0.005476038669441269</v>
      </c>
    </row>
    <row r="3">
      <c r="A3" s="6" t="n">
        <v>2</v>
      </c>
      <c r="B3" s="6" t="n">
        <v>0.9980201467799976</v>
      </c>
      <c r="C3" s="6" t="n">
        <v>0.9701452752232439</v>
      </c>
      <c r="D3" s="6" t="n">
        <v>0.009700033832125574</v>
      </c>
    </row>
    <row r="4">
      <c r="A4" s="6" t="n">
        <v>3</v>
      </c>
      <c r="B4" s="6" t="n">
        <v>0.9981104332460565</v>
      </c>
      <c r="C4" s="6" t="n">
        <v>0.9674796747967479</v>
      </c>
      <c r="D4" s="6" t="n">
        <v>0.008483029190442262</v>
      </c>
    </row>
    <row r="5">
      <c r="A5" s="6" t="n">
        <v>4</v>
      </c>
      <c r="B5" s="6" t="n">
        <v>0.9982265158452749</v>
      </c>
      <c r="C5" s="6" t="n">
        <v>0.9714780754364919</v>
      </c>
      <c r="D5" s="6" t="n">
        <v>0.008060831417551491</v>
      </c>
    </row>
    <row r="6">
      <c r="A6" s="6" t="n">
        <v>5</v>
      </c>
      <c r="B6" s="6" t="n">
        <v>0.998071739046317</v>
      </c>
      <c r="C6" s="6" t="n">
        <v>0.9701452752232439</v>
      </c>
      <c r="D6" s="6" t="n">
        <v>0.007717079421676723</v>
      </c>
    </row>
    <row r="7">
      <c r="A7" s="6" t="n">
        <v>6</v>
      </c>
      <c r="B7" s="6" t="n">
        <v>0.9994840773368073</v>
      </c>
      <c r="C7" s="6" t="n">
        <v>0.9869385579101692</v>
      </c>
      <c r="D7" s="6" t="n">
        <v>0.004876586048921119</v>
      </c>
    </row>
    <row r="8">
      <c r="A8" s="6" t="n">
        <v>7</v>
      </c>
      <c r="B8" s="6" t="n">
        <v>0.9965755633230579</v>
      </c>
      <c r="C8" s="6" t="n">
        <v>0.9581500733040116</v>
      </c>
      <c r="D8" s="6" t="n">
        <v>0.0091679748662713</v>
      </c>
    </row>
    <row r="9">
      <c r="A9" s="6" t="n">
        <v>8</v>
      </c>
      <c r="B9" s="6" t="n">
        <v>0.9980975351794767</v>
      </c>
      <c r="C9" s="6" t="n">
        <v>0.9696121551379446</v>
      </c>
      <c r="D9" s="6" t="n">
        <v>0.006480550578732869</v>
      </c>
    </row>
    <row r="10">
      <c r="A10" s="6" t="n">
        <v>9</v>
      </c>
      <c r="B10" s="6" t="n">
        <v>0.9982329648785649</v>
      </c>
      <c r="C10" s="6" t="n">
        <v>0.9704118352658936</v>
      </c>
      <c r="D10" s="6" t="n">
        <v>0.008099319893907553</v>
      </c>
    </row>
    <row r="11">
      <c r="A11" s="6" t="n">
        <v>10</v>
      </c>
      <c r="B11" s="6" t="n">
        <v>0.99785247191446</v>
      </c>
      <c r="C11" s="6" t="n">
        <v>0.9696121551379446</v>
      </c>
      <c r="D11" s="6" t="n">
        <v>0.01086240362403104</v>
      </c>
    </row>
    <row r="12">
      <c r="A12" s="6" t="n">
        <v>11</v>
      </c>
      <c r="B12" s="6" t="n">
        <v>0.9973429982845572</v>
      </c>
      <c r="C12" s="6" t="n">
        <v>0.9656137544982006</v>
      </c>
      <c r="D12" s="6" t="n">
        <v>0.009582903828884853</v>
      </c>
    </row>
    <row r="13">
      <c r="A13" s="6" t="n">
        <v>12</v>
      </c>
      <c r="B13" s="6" t="n">
        <v>0.9976590009157629</v>
      </c>
      <c r="C13" s="6" t="n">
        <v>0.9669465547114487</v>
      </c>
      <c r="D13" s="6" t="n">
        <v>0.009938980593969429</v>
      </c>
    </row>
    <row r="14">
      <c r="A14" s="6" t="n">
        <v>13</v>
      </c>
      <c r="B14" s="6" t="n">
        <v>0.9988972153074254</v>
      </c>
      <c r="C14" s="6" t="n">
        <v>0.976809276289484</v>
      </c>
      <c r="D14" s="6" t="n">
        <v>0.009783407360022006</v>
      </c>
    </row>
    <row r="15">
      <c r="A15" s="6" t="n">
        <v>14</v>
      </c>
      <c r="B15" s="6" t="n">
        <v>0.9984909262101612</v>
      </c>
      <c r="C15" s="6" t="n">
        <v>0.9762761562041848</v>
      </c>
      <c r="D15" s="6" t="n">
        <v>0.01036787677478489</v>
      </c>
    </row>
    <row r="16">
      <c r="A16" s="6" t="n">
        <v>15</v>
      </c>
      <c r="B16" s="6" t="n">
        <v>0.9988133778746567</v>
      </c>
      <c r="C16" s="6" t="n">
        <v>0.9786751965880313</v>
      </c>
      <c r="D16" s="6" t="n">
        <v>0.009322569767819325</v>
      </c>
    </row>
    <row r="17">
      <c r="A17" s="6" t="n">
        <v>16</v>
      </c>
      <c r="B17" s="6" t="n">
        <v>0.9986586010756988</v>
      </c>
      <c r="C17" s="6" t="n">
        <v>0.9770758363321337</v>
      </c>
      <c r="D17" s="6" t="n">
        <v>0.006962745011515212</v>
      </c>
    </row>
    <row r="18">
      <c r="A18" s="6" t="n">
        <v>17</v>
      </c>
      <c r="B18" s="6" t="n">
        <v>0.9992970553714</v>
      </c>
      <c r="C18" s="6" t="n">
        <v>0.9829401572704251</v>
      </c>
      <c r="D18" s="6" t="n">
        <v>0.007772215791716858</v>
      </c>
    </row>
    <row r="19">
      <c r="A19" s="6" t="n">
        <v>18</v>
      </c>
      <c r="B19" s="6" t="n">
        <v>0.99858121267622</v>
      </c>
      <c r="C19" s="6" t="n">
        <v>0.9746767959482873</v>
      </c>
      <c r="D19" s="6" t="n">
        <v>0.00752158916353568</v>
      </c>
    </row>
    <row r="20">
      <c r="A20" s="6" t="n">
        <v>19</v>
      </c>
      <c r="B20" s="6" t="n">
        <v>0.9984586810437115</v>
      </c>
      <c r="C20" s="6" t="n">
        <v>0.9738771158203384</v>
      </c>
      <c r="D20" s="6" t="n">
        <v>0.007247410691896106</v>
      </c>
    </row>
    <row r="21">
      <c r="A21" s="6" t="n">
        <v>20</v>
      </c>
      <c r="B21" s="6" t="n">
        <v>0.998781132708207</v>
      </c>
      <c r="C21" s="6" t="n">
        <v>0.9794748767159802</v>
      </c>
      <c r="D21" s="6" t="n">
        <v>0.007818242426540015</v>
      </c>
    </row>
    <row r="22">
      <c r="A22" s="6" t="n">
        <v>21</v>
      </c>
      <c r="B22" s="6" t="n">
        <v>0.9985554165430602</v>
      </c>
      <c r="C22" s="6" t="n">
        <v>0.9746767959482873</v>
      </c>
      <c r="D22" s="6" t="n">
        <v>0.01035479180542474</v>
      </c>
    </row>
    <row r="23">
      <c r="A23" s="6" t="n">
        <v>22</v>
      </c>
      <c r="B23" s="6" t="n">
        <v>0.9983619455443631</v>
      </c>
      <c r="C23" s="6" t="n">
        <v>0.9733439957350392</v>
      </c>
      <c r="D23" s="6" t="n">
        <v>0.007011040675957383</v>
      </c>
    </row>
    <row r="24">
      <c r="A24" s="6" t="n">
        <v>23</v>
      </c>
      <c r="B24" s="6" t="n">
        <v>0.9987617856083372</v>
      </c>
      <c r="C24" s="6" t="n">
        <v>0.9781420765027321</v>
      </c>
      <c r="D24" s="6" t="n">
        <v>0.00639655215978728</v>
      </c>
    </row>
    <row r="25">
      <c r="A25" s="6" t="n">
        <v>24</v>
      </c>
      <c r="B25" s="6" t="n">
        <v>0.9987553365750476</v>
      </c>
      <c r="C25" s="6" t="n">
        <v>0.9773423963747834</v>
      </c>
      <c r="D25" s="6" t="n">
        <v>0.008754025450674302</v>
      </c>
    </row>
    <row r="26">
      <c r="A26" s="6" t="n">
        <v>25</v>
      </c>
      <c r="B26" s="6" t="n">
        <v>0.9981039842127666</v>
      </c>
      <c r="C26" s="6" t="n">
        <v>0.9714780754364919</v>
      </c>
      <c r="D26" s="6" t="n">
        <v>0.008090638373311004</v>
      </c>
    </row>
    <row r="27">
      <c r="A27" s="6" t="n">
        <v>26</v>
      </c>
      <c r="B27" s="6" t="n">
        <v>0.9990971353394127</v>
      </c>
      <c r="C27" s="6" t="n">
        <v>0.9802745568439291</v>
      </c>
      <c r="D27" s="6" t="n">
        <v>0.006313493648006277</v>
      </c>
    </row>
    <row r="28">
      <c r="A28" s="6" t="n">
        <v>27</v>
      </c>
      <c r="B28" s="6" t="n">
        <v>0.9996130580026056</v>
      </c>
      <c r="C28" s="6" t="n">
        <v>0.989071038251366</v>
      </c>
      <c r="D28" s="6" t="n">
        <v>0.006993338454963693</v>
      </c>
    </row>
    <row r="29">
      <c r="A29" s="6" t="n">
        <v>28</v>
      </c>
      <c r="B29" s="6" t="n">
        <v>0.9989875017734843</v>
      </c>
      <c r="C29" s="6" t="n">
        <v>0.9802745568439291</v>
      </c>
      <c r="D29" s="6" t="n">
        <v>0.006818664890738915</v>
      </c>
    </row>
    <row r="30">
      <c r="A30" s="6" t="n">
        <v>29</v>
      </c>
      <c r="B30" s="6" t="n">
        <v>0.9978395738478805</v>
      </c>
      <c r="C30" s="6" t="n">
        <v>0.9698787151805943</v>
      </c>
      <c r="D30" s="6" t="n">
        <v>0.009471045931099265</v>
      </c>
    </row>
    <row r="31">
      <c r="A31" s="6" t="n">
        <v>30</v>
      </c>
      <c r="B31" s="6" t="n">
        <v>0.9965239710567388</v>
      </c>
      <c r="C31" s="6" t="n">
        <v>0.956550713048114</v>
      </c>
      <c r="D31" s="6" t="n">
        <v>0.01042780463257641</v>
      </c>
    </row>
    <row r="32">
      <c r="A32" s="6" t="n">
        <v>31</v>
      </c>
      <c r="B32" s="6" t="n">
        <v>0.9995550167029963</v>
      </c>
      <c r="C32" s="6" t="n">
        <v>0.9901372784219643</v>
      </c>
      <c r="D32" s="6" t="n">
        <v>0.004319224815953565</v>
      </c>
    </row>
    <row r="33">
      <c r="A33" s="6" t="n">
        <v>32</v>
      </c>
      <c r="B33" s="6" t="n">
        <v>0.9980265958132878</v>
      </c>
      <c r="C33" s="6" t="n">
        <v>0.9701452752232439</v>
      </c>
      <c r="D33" s="6" t="n">
        <v>0.009125065984731839</v>
      </c>
    </row>
    <row r="34">
      <c r="A34" s="6" t="n">
        <v>33</v>
      </c>
      <c r="B34" s="6" t="n">
        <v>0.9988327249745264</v>
      </c>
      <c r="C34" s="6" t="n">
        <v>0.9784086365453818</v>
      </c>
      <c r="D34" s="6" t="n">
        <v>0.007603219214518092</v>
      </c>
    </row>
    <row r="35">
      <c r="A35" s="6" t="n">
        <v>34</v>
      </c>
      <c r="B35" s="6" t="n">
        <v>0.9991551766390219</v>
      </c>
      <c r="C35" s="6" t="n">
        <v>0.9832067173130746</v>
      </c>
      <c r="D35" s="6" t="n">
        <v>0.006889806484191574</v>
      </c>
    </row>
    <row r="36">
      <c r="A36" s="6" t="n">
        <v>35</v>
      </c>
      <c r="B36" s="6" t="n">
        <v>0.9985941107427996</v>
      </c>
      <c r="C36" s="6" t="n">
        <v>0.9749433559909367</v>
      </c>
      <c r="D36" s="6" t="n">
        <v>0.0102190046101093</v>
      </c>
    </row>
    <row r="37">
      <c r="A37" s="6" t="n">
        <v>36</v>
      </c>
      <c r="B37" s="6" t="n">
        <v>0.9988133778746567</v>
      </c>
      <c r="C37" s="6" t="n">
        <v>0.9765427162468345</v>
      </c>
      <c r="D37" s="6" t="n">
        <v>0.004424082105675214</v>
      </c>
    </row>
    <row r="38">
      <c r="A38" s="6" t="n">
        <v>37</v>
      </c>
      <c r="B38" s="6" t="n">
        <v>0.9986199068759593</v>
      </c>
      <c r="C38" s="6" t="n">
        <v>0.977608956417433</v>
      </c>
      <c r="D38" s="6" t="n">
        <v>0.007364651868725369</v>
      </c>
    </row>
    <row r="39">
      <c r="A39" s="6" t="n">
        <v>38</v>
      </c>
      <c r="B39" s="6" t="n">
        <v>0.998084637112897</v>
      </c>
      <c r="C39" s="6" t="n">
        <v>0.9698787151805943</v>
      </c>
      <c r="D39" s="6" t="n">
        <v>0.009580933708145806</v>
      </c>
    </row>
    <row r="40">
      <c r="A40" s="6" t="n">
        <v>39</v>
      </c>
      <c r="B40" s="6" t="n">
        <v>0.9979105132140692</v>
      </c>
      <c r="C40" s="6" t="n">
        <v>0.9693455950952952</v>
      </c>
      <c r="D40" s="6" t="n">
        <v>0.01371584015191696</v>
      </c>
    </row>
    <row r="41">
      <c r="A41" s="6" t="n">
        <v>40</v>
      </c>
      <c r="B41" s="6" t="n">
        <v>0.9989423585404549</v>
      </c>
      <c r="C41" s="6" t="n">
        <v>0.9789417566306809</v>
      </c>
      <c r="D41" s="6" t="n">
        <v>0.008736182210668075</v>
      </c>
    </row>
    <row r="42">
      <c r="A42" s="6" t="n">
        <v>41</v>
      </c>
      <c r="B42" s="6" t="n">
        <v>0.998297455211464</v>
      </c>
      <c r="C42" s="6" t="n">
        <v>0.9725443156070903</v>
      </c>
      <c r="D42" s="6" t="n">
        <v>0.008747079968262406</v>
      </c>
    </row>
    <row r="43">
      <c r="A43" s="6" t="n">
        <v>42</v>
      </c>
      <c r="B43" s="6" t="n">
        <v>0.9974074886174562</v>
      </c>
      <c r="C43" s="6" t="n">
        <v>0.9664134346261494</v>
      </c>
      <c r="D43" s="6" t="n">
        <v>0.008153528547548958</v>
      </c>
    </row>
    <row r="44">
      <c r="A44" s="6" t="n">
        <v>43</v>
      </c>
      <c r="B44" s="6" t="n">
        <v>0.9986199068759593</v>
      </c>
      <c r="C44" s="6" t="n">
        <v>0.9752099160335864</v>
      </c>
      <c r="D44" s="6" t="n">
        <v>0.008844214474423129</v>
      </c>
    </row>
    <row r="45">
      <c r="A45" s="6" t="n">
        <v>44</v>
      </c>
      <c r="B45" s="6" t="n">
        <v>0.9969173620874233</v>
      </c>
      <c r="C45" s="6" t="n">
        <v>0.9616153538584564</v>
      </c>
      <c r="D45" s="6" t="n">
        <v>0.009332507131897178</v>
      </c>
    </row>
    <row r="46">
      <c r="A46" s="6" t="n">
        <v>45</v>
      </c>
      <c r="B46" s="6" t="n">
        <v>0.9991100334059925</v>
      </c>
      <c r="C46" s="6" t="n">
        <v>0.9810742369718778</v>
      </c>
      <c r="D46" s="6" t="n">
        <v>0.0088068680416198</v>
      </c>
    </row>
    <row r="47">
      <c r="A47" s="6" t="n">
        <v>46</v>
      </c>
      <c r="B47" s="6" t="n">
        <v>0.9976461028491831</v>
      </c>
      <c r="C47" s="6" t="n">
        <v>0.9664134346261494</v>
      </c>
      <c r="D47" s="6" t="n">
        <v>0.00932183663971245</v>
      </c>
    </row>
    <row r="48">
      <c r="A48" s="6" t="n">
        <v>47</v>
      </c>
      <c r="B48" s="6" t="n">
        <v>0.9978202267480106</v>
      </c>
      <c r="C48" s="6" t="n">
        <v>0.9690790350526455</v>
      </c>
      <c r="D48" s="6" t="n">
        <v>0.007896135022037384</v>
      </c>
    </row>
    <row r="49">
      <c r="A49" s="6" t="n">
        <v>48</v>
      </c>
      <c r="B49" s="6" t="n">
        <v>0.997936309347229</v>
      </c>
      <c r="C49" s="6" t="n">
        <v>0.9682793549246966</v>
      </c>
      <c r="D49" s="6" t="n">
        <v>0.008387798616612263</v>
      </c>
    </row>
    <row r="50">
      <c r="A50" s="6" t="n">
        <v>49</v>
      </c>
      <c r="B50" s="6" t="n">
        <v>0.9993873418374586</v>
      </c>
      <c r="C50" s="6" t="n">
        <v>0.9850726376116219</v>
      </c>
      <c r="D50" s="6" t="n">
        <v>0.007366500504671136</v>
      </c>
    </row>
    <row r="51">
      <c r="A51" s="6" t="n">
        <v>50</v>
      </c>
      <c r="B51" s="6" t="n">
        <v>0.999200319872051</v>
      </c>
      <c r="C51" s="6" t="n">
        <v>0.9837398373983739</v>
      </c>
      <c r="D51" s="6" t="n">
        <v>0.004349903169821687</v>
      </c>
    </row>
    <row r="52">
      <c r="A52" s="6" t="n">
        <v>51</v>
      </c>
      <c r="B52" s="6" t="n">
        <v>0.9981104332460565</v>
      </c>
      <c r="C52" s="6" t="n">
        <v>0.9701452752232439</v>
      </c>
      <c r="D52" s="6" t="n">
        <v>0.007295024837595032</v>
      </c>
    </row>
    <row r="53">
      <c r="A53" s="6" t="n">
        <v>52</v>
      </c>
      <c r="B53" s="6" t="n">
        <v>0.9983554965110731</v>
      </c>
      <c r="C53" s="6" t="n">
        <v>0.9752099160335864</v>
      </c>
      <c r="D53" s="6" t="n">
        <v>0.01042067744810699</v>
      </c>
    </row>
    <row r="54">
      <c r="A54" s="6" t="n">
        <v>53</v>
      </c>
      <c r="B54" s="6" t="n">
        <v>0.9983619455443631</v>
      </c>
      <c r="C54" s="6" t="n">
        <v>0.9752099160335864</v>
      </c>
      <c r="D54" s="6" t="n">
        <v>0.01068898645933067</v>
      </c>
    </row>
    <row r="55">
      <c r="A55" s="6" t="n">
        <v>54</v>
      </c>
      <c r="B55" s="6" t="n">
        <v>0.9972527118184986</v>
      </c>
      <c r="C55" s="6" t="n">
        <v>0.9624150339864054</v>
      </c>
      <c r="D55" s="6" t="n">
        <v>0.007909595347171838</v>
      </c>
    </row>
    <row r="56">
      <c r="A56" s="6" t="n">
        <v>55</v>
      </c>
      <c r="B56" s="6" t="n">
        <v>0.9978266757813005</v>
      </c>
      <c r="C56" s="6" t="n">
        <v>0.9685459149673463</v>
      </c>
      <c r="D56" s="6" t="n">
        <v>0.00816727603227653</v>
      </c>
    </row>
    <row r="57">
      <c r="A57" s="6" t="n">
        <v>56</v>
      </c>
      <c r="B57" s="6" t="n">
        <v>0.9969947504869021</v>
      </c>
      <c r="C57" s="6" t="n">
        <v>0.9600159936025588</v>
      </c>
      <c r="D57" s="6" t="n">
        <v>0.00814906560320422</v>
      </c>
    </row>
    <row r="58">
      <c r="A58" s="6" t="n">
        <v>57</v>
      </c>
      <c r="B58" s="6" t="n">
        <v>0.9989294604738751</v>
      </c>
      <c r="C58" s="6" t="n">
        <v>0.9794748767159802</v>
      </c>
      <c r="D58" s="6" t="n">
        <v>0.006027877161119292</v>
      </c>
    </row>
    <row r="59">
      <c r="A59" s="6" t="n">
        <v>58</v>
      </c>
      <c r="B59" s="6" t="n">
        <v>0.9976912460822125</v>
      </c>
      <c r="C59" s="6" t="n">
        <v>0.9682793549246966</v>
      </c>
      <c r="D59" s="6" t="n">
        <v>0.008130946147211632</v>
      </c>
    </row>
    <row r="60">
      <c r="A60" s="6" t="n">
        <v>59</v>
      </c>
      <c r="B60" s="6" t="n">
        <v>0.9957565360952393</v>
      </c>
      <c r="C60" s="6" t="n">
        <v>0.9533519925363187</v>
      </c>
      <c r="D60" s="6" t="n">
        <v>0.008922143937103777</v>
      </c>
    </row>
    <row r="61">
      <c r="A61" s="6" t="n">
        <v>60</v>
      </c>
      <c r="B61" s="6" t="n">
        <v>0.9987682346416273</v>
      </c>
      <c r="C61" s="6" t="n">
        <v>0.9786751965880313</v>
      </c>
      <c r="D61" s="6" t="n">
        <v>0.005615426472597357</v>
      </c>
    </row>
    <row r="62">
      <c r="A62" s="6" t="n">
        <v>61</v>
      </c>
      <c r="B62" s="6" t="n">
        <v>0.9983941907108125</v>
      </c>
      <c r="C62" s="6" t="n">
        <v>0.9730774356923897</v>
      </c>
      <c r="D62" s="6" t="n">
        <v>0.0121940930266735</v>
      </c>
    </row>
    <row r="63">
      <c r="A63" s="6" t="n">
        <v>62</v>
      </c>
      <c r="B63" s="6" t="n">
        <v>0.9974590808837756</v>
      </c>
      <c r="C63" s="6" t="n">
        <v>0.9669465547114487</v>
      </c>
      <c r="D63" s="6" t="n">
        <v>0.008963992769178752</v>
      </c>
    </row>
    <row r="64">
      <c r="A64" s="6" t="n">
        <v>63</v>
      </c>
      <c r="B64" s="6" t="n">
        <v>0.9984909262101612</v>
      </c>
      <c r="C64" s="6" t="n">
        <v>0.9738771158203384</v>
      </c>
      <c r="D64" s="6" t="n">
        <v>0.00864678956859749</v>
      </c>
    </row>
    <row r="65">
      <c r="A65" s="6" t="n">
        <v>64</v>
      </c>
      <c r="B65" s="6" t="n">
        <v>0.9990132979066437</v>
      </c>
      <c r="C65" s="6" t="n">
        <v>0.9792083166733305</v>
      </c>
      <c r="D65" s="6" t="n">
        <v>0.008627914316196292</v>
      </c>
    </row>
    <row r="66">
      <c r="A66" s="6" t="n">
        <v>65</v>
      </c>
      <c r="B66" s="6" t="n">
        <v>0.9992454631050804</v>
      </c>
      <c r="C66" s="6" t="n">
        <v>0.9837398373983739</v>
      </c>
      <c r="D66" s="6" t="n">
        <v>0.007249501505256883</v>
      </c>
    </row>
    <row r="67">
      <c r="A67" s="6" t="n">
        <v>66</v>
      </c>
      <c r="B67" s="6" t="n">
        <v>0.9989359095071649</v>
      </c>
      <c r="C67" s="6" t="n">
        <v>0.9784086365453818</v>
      </c>
      <c r="D67" s="6" t="n">
        <v>0.005888039753563945</v>
      </c>
    </row>
    <row r="68">
      <c r="A68" s="6" t="n">
        <v>67</v>
      </c>
      <c r="B68" s="6" t="n">
        <v>0.9976783480156325</v>
      </c>
      <c r="C68" s="6" t="n">
        <v>0.9672131147540982</v>
      </c>
      <c r="D68" s="6" t="n">
        <v>0.006442596002104159</v>
      </c>
    </row>
    <row r="69">
      <c r="A69" s="6" t="n">
        <v>68</v>
      </c>
      <c r="B69" s="6" t="n">
        <v>0.9976396538158929</v>
      </c>
      <c r="C69" s="6" t="n">
        <v>0.9656137544982006</v>
      </c>
      <c r="D69" s="6" t="n">
        <v>0.006639220565435658</v>
      </c>
    </row>
    <row r="70">
      <c r="A70" s="6" t="n">
        <v>69</v>
      </c>
      <c r="B70" s="6" t="n">
        <v>0.996504623956869</v>
      </c>
      <c r="C70" s="6" t="n">
        <v>0.956550713048114</v>
      </c>
      <c r="D70" s="6" t="n">
        <v>0.007547599340752151</v>
      </c>
    </row>
    <row r="71">
      <c r="A71" s="6" t="n">
        <v>70</v>
      </c>
      <c r="B71" s="6" t="n">
        <v>0.9980781880796068</v>
      </c>
      <c r="C71" s="6" t="n">
        <v>0.9709449553511927</v>
      </c>
      <c r="D71" s="6" t="n">
        <v>0.006787797098376416</v>
      </c>
    </row>
    <row r="72">
      <c r="A72" s="6" t="n">
        <v>71</v>
      </c>
      <c r="B72" s="6" t="n">
        <v>0.9984393339438419</v>
      </c>
      <c r="C72" s="6" t="n">
        <v>0.9744102359056376</v>
      </c>
      <c r="D72" s="6" t="n">
        <v>0.005859652176380112</v>
      </c>
    </row>
    <row r="73">
      <c r="A73" s="6" t="n">
        <v>72</v>
      </c>
      <c r="B73" s="6" t="n">
        <v>0.9980265958132878</v>
      </c>
      <c r="C73" s="6" t="n">
        <v>0.9698787151805943</v>
      </c>
      <c r="D73" s="6" t="n">
        <v>0.007310535827047354</v>
      </c>
    </row>
    <row r="74">
      <c r="A74" s="6" t="n">
        <v>73</v>
      </c>
      <c r="B74" s="6" t="n">
        <v>0.9988778682075558</v>
      </c>
      <c r="C74" s="6" t="n">
        <v>0.9773423963747834</v>
      </c>
      <c r="D74" s="6" t="n">
        <v>0.01170732366987712</v>
      </c>
    </row>
    <row r="75">
      <c r="A75" s="6" t="n">
        <v>74</v>
      </c>
      <c r="B75" s="6" t="n">
        <v>0.9988907662741355</v>
      </c>
      <c r="C75" s="6" t="n">
        <v>0.9797414367586298</v>
      </c>
      <c r="D75" s="6" t="n">
        <v>0.008349775535402906</v>
      </c>
    </row>
    <row r="76">
      <c r="A76" s="6" t="n">
        <v>75</v>
      </c>
      <c r="B76" s="6" t="n">
        <v>0.9991035843727026</v>
      </c>
      <c r="C76" s="6" t="n">
        <v>0.9808076769292282</v>
      </c>
      <c r="D76" s="6" t="n">
        <v>0.00841246199461132</v>
      </c>
    </row>
    <row r="77">
      <c r="A77" s="6" t="n">
        <v>76</v>
      </c>
      <c r="B77" s="6" t="n">
        <v>0.9974848770169353</v>
      </c>
      <c r="C77" s="6" t="n">
        <v>0.9658803145408502</v>
      </c>
      <c r="D77" s="6" t="n">
        <v>0.006521578526911487</v>
      </c>
    </row>
    <row r="78">
      <c r="A78" s="6" t="n">
        <v>77</v>
      </c>
      <c r="B78" s="6" t="n">
        <v>0.9977879815815609</v>
      </c>
      <c r="C78" s="6" t="n">
        <v>0.9680127948820471</v>
      </c>
      <c r="D78" s="6" t="n">
        <v>0.008807548450045236</v>
      </c>
    </row>
    <row r="79">
      <c r="A79" s="6" t="n">
        <v>78</v>
      </c>
      <c r="B79" s="6" t="n">
        <v>0.9970656898530911</v>
      </c>
      <c r="C79" s="6" t="n">
        <v>0.9621484739437557</v>
      </c>
      <c r="D79" s="6" t="n">
        <v>0.01021247206807852</v>
      </c>
    </row>
    <row r="80">
      <c r="A80" s="6" t="n">
        <v>79</v>
      </c>
      <c r="B80" s="6" t="n">
        <v>0.9985360694431906</v>
      </c>
      <c r="C80" s="6" t="n">
        <v>0.9765427162468345</v>
      </c>
      <c r="D80" s="6" t="n">
        <v>0.008302393845911832</v>
      </c>
    </row>
    <row r="81">
      <c r="A81" s="6" t="n">
        <v>80</v>
      </c>
      <c r="B81" s="6" t="n">
        <v>0.9980523919464473</v>
      </c>
      <c r="C81" s="6" t="n">
        <v>0.9720111955217912</v>
      </c>
      <c r="D81" s="6" t="n">
        <v>0.009256472569142762</v>
      </c>
    </row>
    <row r="82">
      <c r="A82" s="6" t="n">
        <v>81</v>
      </c>
      <c r="B82" s="6" t="n">
        <v>0.998432884910552</v>
      </c>
      <c r="C82" s="6" t="n">
        <v>0.9725443156070903</v>
      </c>
      <c r="D82" s="6" t="n">
        <v>0.009039409824351058</v>
      </c>
    </row>
    <row r="83">
      <c r="A83" s="6" t="n">
        <v>82</v>
      </c>
      <c r="B83" s="6" t="n">
        <v>0.9990713392062531</v>
      </c>
      <c r="C83" s="6" t="n">
        <v>0.9802745568439291</v>
      </c>
      <c r="D83" s="6" t="n">
        <v>0.006716820786683474</v>
      </c>
    </row>
    <row r="84">
      <c r="A84" s="6" t="n">
        <v>83</v>
      </c>
      <c r="B84" s="6" t="n">
        <v>0.9974590808837756</v>
      </c>
      <c r="C84" s="6" t="n">
        <v>0.9656137544982006</v>
      </c>
      <c r="D84" s="6" t="n">
        <v>0.007600272037542613</v>
      </c>
    </row>
    <row r="85">
      <c r="A85" s="6" t="n">
        <v>84</v>
      </c>
      <c r="B85" s="6" t="n">
        <v>0.9980459429131574</v>
      </c>
      <c r="C85" s="6" t="n">
        <v>0.9709449553511927</v>
      </c>
      <c r="D85" s="6" t="n">
        <v>0.008427645448119886</v>
      </c>
    </row>
    <row r="86">
      <c r="A86" s="6" t="n">
        <v>85</v>
      </c>
      <c r="B86" s="6" t="n">
        <v>0.9969367091872929</v>
      </c>
      <c r="C86" s="6" t="n">
        <v>0.9600159936025588</v>
      </c>
      <c r="D86" s="6" t="n">
        <v>0.01184820530636385</v>
      </c>
    </row>
    <row r="87">
      <c r="A87" s="6" t="n">
        <v>86</v>
      </c>
      <c r="B87" s="6" t="n">
        <v>0.9980330448465774</v>
      </c>
      <c r="C87" s="6" t="n">
        <v>0.9701452752232439</v>
      </c>
      <c r="D87" s="6" t="n">
        <v>0.008207733723209376</v>
      </c>
    </row>
    <row r="88">
      <c r="A88" s="6" t="n">
        <v>87</v>
      </c>
      <c r="B88" s="6" t="n">
        <v>0.9979685545136784</v>
      </c>
      <c r="C88" s="6" t="n">
        <v>0.9704118352658936</v>
      </c>
      <c r="D88" s="6" t="n">
        <v>0.006405520901164974</v>
      </c>
    </row>
    <row r="89">
      <c r="A89" s="6" t="n">
        <v>88</v>
      </c>
      <c r="B89" s="6" t="n">
        <v>0.9982200668119849</v>
      </c>
      <c r="C89" s="6" t="n">
        <v>0.9720111955217912</v>
      </c>
      <c r="D89" s="6" t="n">
        <v>0.009446058151877698</v>
      </c>
    </row>
    <row r="90">
      <c r="A90" s="6" t="n">
        <v>89</v>
      </c>
      <c r="B90" s="6" t="n">
        <v>0.9985102733100308</v>
      </c>
      <c r="C90" s="6" t="n">
        <v>0.9741436758629881</v>
      </c>
      <c r="D90" s="6" t="n">
        <v>0.008303107586159333</v>
      </c>
    </row>
    <row r="91">
      <c r="A91" s="6" t="n">
        <v>90</v>
      </c>
      <c r="B91" s="6" t="n">
        <v>0.9991616256723118</v>
      </c>
      <c r="C91" s="6" t="n">
        <v>0.9824070371851258</v>
      </c>
      <c r="D91" s="6" t="n">
        <v>0.00792952224195409</v>
      </c>
    </row>
    <row r="92">
      <c r="A92" s="6" t="n">
        <v>91</v>
      </c>
      <c r="B92" s="6" t="n">
        <v>0.9974010395841666</v>
      </c>
      <c r="C92" s="6" t="n">
        <v>0.9658803145408502</v>
      </c>
      <c r="D92" s="6" t="n">
        <v>0.008207300518675464</v>
      </c>
    </row>
    <row r="93">
      <c r="A93" s="6" t="n">
        <v>92</v>
      </c>
      <c r="B93" s="6" t="n">
        <v>0.9986070088093796</v>
      </c>
      <c r="C93" s="6" t="n">
        <v>0.9762761562041848</v>
      </c>
      <c r="D93" s="6" t="n">
        <v>0.01008283189777959</v>
      </c>
    </row>
    <row r="94">
      <c r="A94" s="6" t="n">
        <v>93</v>
      </c>
      <c r="B94" s="6" t="n">
        <v>0.9989294604738751</v>
      </c>
      <c r="C94" s="6" t="n">
        <v>0.9797414367586298</v>
      </c>
      <c r="D94" s="6" t="n">
        <v>0.005266376479790773</v>
      </c>
    </row>
    <row r="95">
      <c r="A95" s="6" t="n">
        <v>94</v>
      </c>
      <c r="B95" s="6" t="n">
        <v>0.9986328049425393</v>
      </c>
      <c r="C95" s="6" t="n">
        <v>0.9757430361188857</v>
      </c>
      <c r="D95" s="6" t="n">
        <v>0.008476434503677202</v>
      </c>
    </row>
    <row r="96">
      <c r="A96" s="6" t="n">
        <v>95</v>
      </c>
      <c r="B96" s="6" t="n">
        <v>0.9972269156853388</v>
      </c>
      <c r="C96" s="6" t="n">
        <v>0.9629481540717045</v>
      </c>
      <c r="D96" s="6" t="n">
        <v>0.01088809986486619</v>
      </c>
    </row>
    <row r="97">
      <c r="A97" s="6" t="n">
        <v>96</v>
      </c>
      <c r="B97" s="6" t="n">
        <v>0.9978395738478805</v>
      </c>
      <c r="C97" s="6" t="n">
        <v>0.9701452752232439</v>
      </c>
      <c r="D97" s="6" t="n">
        <v>0.007098517368707577</v>
      </c>
    </row>
    <row r="98">
      <c r="A98" s="6" t="n">
        <v>97</v>
      </c>
      <c r="B98" s="6" t="n">
        <v>0.9985941107427996</v>
      </c>
      <c r="C98" s="6" t="n">
        <v>0.9744102359056376</v>
      </c>
      <c r="D98" s="6" t="n">
        <v>0.008356154033511809</v>
      </c>
    </row>
    <row r="99">
      <c r="A99" s="6" t="n">
        <v>98</v>
      </c>
      <c r="B99" s="6" t="n">
        <v>0.998787581741497</v>
      </c>
      <c r="C99" s="6" t="n">
        <v>0.9773423963747834</v>
      </c>
      <c r="D99" s="6" t="n">
        <v>0.007664463375251229</v>
      </c>
    </row>
    <row r="100">
      <c r="A100" s="6" t="n">
        <v>99</v>
      </c>
      <c r="B100" s="6" t="n">
        <v>0.9971882214855993</v>
      </c>
      <c r="C100" s="6" t="n">
        <v>0.9634812741570037</v>
      </c>
      <c r="D100" s="6" t="n">
        <v>0.006253595645660234</v>
      </c>
    </row>
    <row r="101">
      <c r="A101" s="6" t="n">
        <v>100</v>
      </c>
      <c r="B101" s="6" t="n">
        <v>0.9984844771768713</v>
      </c>
      <c r="C101" s="6" t="n">
        <v>0.9749433559909367</v>
      </c>
      <c r="D101" s="6" t="n">
        <v>0.009904953572222375</v>
      </c>
    </row>
  </sheetData>
  <autoFilter ref="A1:D1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75" customWidth="1" min="1" max="1"/>
    <col width="25.75" customWidth="1" min="2" max="2"/>
    <col width="24.5" customWidth="1" min="3" max="3"/>
    <col width="24.5" customWidth="1" min="4" max="4"/>
  </cols>
  <sheetData>
    <row r="1">
      <c r="A1" s="5" t="inlineStr">
        <is>
          <t>移除指标</t>
        </is>
      </c>
      <c r="B1" s="5" t="inlineStr">
        <is>
          <t>原权重</t>
        </is>
      </c>
      <c r="C1" s="5" t="inlineStr">
        <is>
          <t>Spearman相关系数</t>
        </is>
      </c>
      <c r="D1" s="5" t="inlineStr">
        <is>
          <t>Kendall相关系数</t>
        </is>
      </c>
    </row>
    <row r="2">
      <c r="A2" s="6" t="inlineStr">
        <is>
          <t>年化利润</t>
        </is>
      </c>
      <c r="B2" s="6" t="n">
        <v>0.12</v>
      </c>
      <c r="C2" s="6" t="n">
        <v>0.9149694960725389</v>
      </c>
      <c r="D2" s="6" t="n">
        <v>0.8635212581634011</v>
      </c>
    </row>
    <row r="3">
      <c r="A3" s="6" t="inlineStr">
        <is>
          <t>年化销项净额</t>
        </is>
      </c>
      <c r="B3" s="6" t="n">
        <v>0.09999999999999998</v>
      </c>
      <c r="C3" s="6" t="n">
        <v>0.9643755401065381</v>
      </c>
      <c r="D3" s="6" t="n">
        <v>0.8523257363721177</v>
      </c>
    </row>
    <row r="4">
      <c r="A4" s="6" t="inlineStr">
        <is>
          <t>年化客户数</t>
        </is>
      </c>
      <c r="B4" s="6" t="n">
        <v>0.06999999999999999</v>
      </c>
      <c r="C4" s="6" t="n">
        <v>0.9780023474481175</v>
      </c>
      <c r="D4" s="6" t="n">
        <v>0.8824470211915232</v>
      </c>
    </row>
    <row r="5">
      <c r="A5" s="6" t="inlineStr">
        <is>
          <t>收入趋势率</t>
        </is>
      </c>
      <c r="B5" s="6" t="n">
        <v>0.07999999999999999</v>
      </c>
      <c r="C5" s="6" t="n">
        <v>0.9824908746178947</v>
      </c>
      <c r="D5" s="6" t="n">
        <v>0.8973743835799013</v>
      </c>
    </row>
    <row r="6">
      <c r="A6" s="6" t="inlineStr">
        <is>
          <t>年化供应商数</t>
        </is>
      </c>
      <c r="B6" s="6" t="n">
        <v>0.06999999999999999</v>
      </c>
      <c r="C6" s="6" t="n">
        <v>0.9850059976009596</v>
      </c>
      <c r="D6" s="6" t="n">
        <v>0.907770225243236</v>
      </c>
    </row>
    <row r="7">
      <c r="A7" s="6" t="inlineStr">
        <is>
          <t>收入波动率</t>
        </is>
      </c>
      <c r="B7" s="6" t="n">
        <v>0.07999999999999999</v>
      </c>
      <c r="C7" s="6" t="n">
        <v>0.9891462769730818</v>
      </c>
      <c r="D7" s="6" t="n">
        <v>0.9229641476742636</v>
      </c>
    </row>
    <row r="8">
      <c r="A8" s="6" t="inlineStr">
        <is>
          <t>利润率</t>
        </is>
      </c>
      <c r="B8" s="6" t="n">
        <v>0.09999999999999998</v>
      </c>
      <c r="C8" s="6" t="n">
        <v>0.9926803472159526</v>
      </c>
      <c r="D8" s="6" t="n">
        <v>0.9328268692522991</v>
      </c>
    </row>
    <row r="9">
      <c r="A9" s="6" t="inlineStr">
        <is>
          <t>活跃月份比例</t>
        </is>
      </c>
      <c r="B9" s="6" t="n">
        <v>0.07999999999999999</v>
      </c>
      <c r="C9" s="6" t="n">
        <v>0.9966078084895076</v>
      </c>
      <c r="D9" s="6" t="n">
        <v>0.9621484739437557</v>
      </c>
    </row>
    <row r="10">
      <c r="A10" s="6" t="inlineStr">
        <is>
          <t>成本波动率</t>
        </is>
      </c>
      <c r="B10" s="6" t="n">
        <v>0.05999999999999998</v>
      </c>
      <c r="C10" s="6" t="n">
        <v>0.9968593207878141</v>
      </c>
      <c r="D10" s="6" t="n">
        <v>0.9621484739437557</v>
      </c>
    </row>
    <row r="11">
      <c r="A11" s="6" t="inlineStr">
        <is>
          <t>进项作废率</t>
        </is>
      </c>
      <c r="B11" s="6" t="n">
        <v>0.03999999999999999</v>
      </c>
      <c r="C11" s="6" t="n">
        <v>0.998136229379216</v>
      </c>
      <c r="D11" s="6" t="n">
        <v>0.9754764760762361</v>
      </c>
    </row>
    <row r="12">
      <c r="A12" s="6" t="inlineStr">
        <is>
          <t>销项作废率</t>
        </is>
      </c>
      <c r="B12" s="6" t="n">
        <v>0.04999999999999999</v>
      </c>
      <c r="C12" s="6" t="n">
        <v>0.9987682346416273</v>
      </c>
      <c r="D12" s="6" t="n">
        <v>0.9805411168865785</v>
      </c>
    </row>
    <row r="13">
      <c r="A13" s="6" t="inlineStr">
        <is>
          <t>销项负数金额率</t>
        </is>
      </c>
      <c r="B13" s="6" t="n">
        <v>0.04999999999999999</v>
      </c>
      <c r="C13" s="6" t="n">
        <v>0.9988262759412365</v>
      </c>
      <c r="D13" s="6" t="n">
        <v>0.9834732773557242</v>
      </c>
    </row>
    <row r="14">
      <c r="A14" s="6" t="inlineStr">
        <is>
          <t>进项负数金额率</t>
        </is>
      </c>
      <c r="B14" s="6" t="n">
        <v>0.04999999999999999</v>
      </c>
      <c r="C14" s="6" t="n">
        <v>0.9988391740078164</v>
      </c>
      <c r="D14" s="6" t="n">
        <v>0.9845395175263227</v>
      </c>
    </row>
    <row r="15">
      <c r="A15" s="6" t="inlineStr">
        <is>
          <t>最近断档月数</t>
        </is>
      </c>
      <c r="B15" s="6" t="n">
        <v>0.04999999999999999</v>
      </c>
      <c r="C15" s="6" t="n">
        <v>0.9999484077336809</v>
      </c>
      <c r="D15" s="6" t="n">
        <v>0.9981340797014526</v>
      </c>
    </row>
  </sheetData>
  <autoFilter ref="A1:D1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2026-07-13T10:38:51Z</dcterms:created>
  <dcterms:modified xmlns:dcterms="http://purl.org/dc/terms/" xmlns:xsi="http://www.w3.org/2001/XMLSchema-instance" xsi:type="dcterms:W3CDTF">2026-07-13T10:38:52Z</dcterms:modified>
</cp:coreProperties>
</file>